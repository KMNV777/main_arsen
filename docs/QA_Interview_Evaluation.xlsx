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Вопросы" sheetId="2" state="visible" r:id="rId2"/>
    <sheet name="Кейсы" sheetId="3" state="visible" r:id="rId3"/>
    <sheet name="Граничные" sheetId="4" state="visible" r:id="rId4"/>
    <sheet name="Штрафы" sheetId="5" state="visible" r:id="rId5"/>
    <sheet name="Сводка" sheetId="6" state="visible" r:id="rId6"/>
    <sheet name="Карточка кандидат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Должность</t>
        </is>
      </c>
      <c r="B2" t="inlineStr">
        <is>
          <t>QA Engineer | Web, Mobile, API (Middle / Senior / Lead)</t>
        </is>
      </c>
    </row>
    <row r="3">
      <c r="A3" t="inlineStr">
        <is>
          <t>Длительность</t>
        </is>
      </c>
      <c r="B3" t="inlineStr">
        <is>
          <t>~90 минут</t>
        </is>
      </c>
    </row>
    <row r="4">
      <c r="A4" t="inlineStr">
        <is>
          <t>Максимум баллов</t>
        </is>
      </c>
      <c r="B4" t="inlineStr">
        <is>
          <t>100 (+ практика граничных — опционально 10)</t>
        </is>
      </c>
    </row>
    <row r="5">
      <c r="A5" t="inlineStr">
        <is>
          <t>Strong hire (Lead)</t>
        </is>
      </c>
      <c r="B5" t="inlineStr">
        <is>
          <t>85–100 + пороги Lead</t>
        </is>
      </c>
    </row>
    <row r="6">
      <c r="A6" t="inlineStr">
        <is>
          <t>Hire (Senior)</t>
        </is>
      </c>
      <c r="B6" t="inlineStr">
        <is>
          <t>70–84</t>
        </is>
      </c>
    </row>
    <row r="7">
      <c r="A7" t="inlineStr">
        <is>
          <t>Hire с оговорками</t>
        </is>
      </c>
      <c r="B7" t="inlineStr">
        <is>
          <t>55–69</t>
        </is>
      </c>
    </row>
    <row r="8">
      <c r="A8" t="inlineStr">
        <is>
          <t>No hire</t>
        </is>
      </c>
      <c r="B8" t="inlineStr">
        <is>
          <t>&lt; 55</t>
        </is>
      </c>
    </row>
    <row r="9">
      <c r="A9" t="inlineStr"/>
      <c r="B9" t="inlineStr"/>
    </row>
    <row r="10">
      <c r="A10" t="inlineStr">
        <is>
          <t>Шкала за вопрос (макс. 3)</t>
        </is>
      </c>
      <c r="B10" t="inlineStr">
        <is>
          <t>0 — нет ответа; 1 — с подсказками; 2 — верно с пробелами; 3 — полный + пример</t>
        </is>
      </c>
    </row>
    <row r="11">
      <c r="A11" t="inlineStr">
        <is>
          <t>Подсказки</t>
        </is>
      </c>
      <c r="B11" t="inlineStr">
        <is>
          <t>После 2-й подсказки максимум 1 балл на вопрос</t>
        </is>
      </c>
    </row>
    <row r="12">
      <c r="A12" t="inlineStr">
        <is>
          <t>Штрафы</t>
        </is>
      </c>
      <c r="B12" t="inlineStr">
        <is>
          <t>До −10 (лист «Штрафы»)</t>
        </is>
      </c>
    </row>
    <row r="13">
      <c r="A13" t="inlineStr">
        <is>
          <t>Lead-пороги</t>
        </is>
      </c>
      <c r="B13" t="inlineStr">
        <is>
          <t>API ≥10/14; Процессы ≥9/12; Кейс ≥18/24</t>
        </is>
      </c>
    </row>
    <row r="14">
      <c r="A14" t="inlineStr"/>
      <c r="B14" t="inlineStr"/>
    </row>
    <row r="15">
      <c r="A15" t="inlineStr">
        <is>
          <t>Порядок проведения</t>
        </is>
      </c>
      <c r="B15" t="inlineStr">
        <is>
          <t>1) Знакомство 2) Теория 3) Web/API 4) Mobile 5) Кейс 6) Граничные (опц.) 7) Вопросы кандидату</t>
        </is>
      </c>
    </row>
    <row r="16">
      <c r="A16" t="inlineStr">
        <is>
          <t>Файлы</t>
        </is>
      </c>
      <c r="B16" t="inlineStr">
        <is>
          <t>Листы: Вопросы, Кейсы, Граничные, Штрафы, Сводка, Карточка кандидата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6" customWidth="1" min="4" max="4"/>
    <col width="6" customWidth="1" min="5" max="5"/>
    <col width="28" customWidth="1" min="6" max="6"/>
    <col width="18" customWidth="1" min="7" max="7"/>
    <col width="14" customWidth="1" min="8" max="8"/>
    <col width="12" customWidth="1" min="9" max="9"/>
    <col width="10" customWidth="1" min="10" max="10"/>
    <col width="22" customWidth="1" min="11" max="11"/>
  </cols>
  <sheetData>
    <row r="1" ht="22" customHeight="1">
      <c r="A1" s="1" t="inlineStr">
        <is>
          <t>ID</t>
        </is>
      </c>
      <c r="B1" s="1" t="inlineStr">
        <is>
          <t>Блок</t>
        </is>
      </c>
      <c r="C1" s="1" t="inlineStr">
        <is>
          <t>Вопрос</t>
        </is>
      </c>
      <c r="D1" s="1" t="inlineStr">
        <is>
          <t>Макс.</t>
        </is>
      </c>
      <c r="E1" s="1" t="inlineStr">
        <is>
          <t>Балл</t>
        </is>
      </c>
      <c r="F1" s="1" t="inlineStr">
        <is>
          <t>3 балла (эталон)</t>
        </is>
      </c>
      <c r="G1" s="1" t="inlineStr">
        <is>
          <t>2 балла</t>
        </is>
      </c>
      <c r="H1" s="1" t="inlineStr">
        <is>
          <t>1 балл</t>
        </is>
      </c>
      <c r="I1" s="1" t="inlineStr">
        <is>
          <t>0 баллов</t>
        </is>
      </c>
      <c r="J1" s="1" t="inlineStr">
        <is>
          <t>Подсказки</t>
        </is>
      </c>
      <c r="K1" s="1" t="inlineStr">
        <is>
          <t>Комментарий</t>
        </is>
      </c>
    </row>
    <row r="2">
      <c r="A2" s="2" t="inlineStr">
        <is>
          <t>1.1</t>
        </is>
      </c>
      <c r="B2" s="2" t="inlineStr">
        <is>
          <t>1. Теория</t>
        </is>
      </c>
      <c r="C2" s="2" t="inlineStr">
        <is>
          <t>Smoke / sanity / регресс / re-test — отличия и когда применять</t>
        </is>
      </c>
      <c r="D2" s="2" t="n">
        <v>3</v>
      </c>
      <c r="E2" s="2" t="inlineStr"/>
      <c r="F2" s="2" t="inlineStr">
        <is>
          <t>Чёткие определения + пример из релиза/e-com</t>
        </is>
      </c>
      <c r="G2" s="2" t="inlineStr">
        <is>
          <t>Верно, без примера</t>
        </is>
      </c>
      <c r="H2" s="2" t="inlineStr">
        <is>
          <t>Путает 2 вида</t>
        </is>
      </c>
      <c r="I2" s="2" t="inlineStr">
        <is>
          <t>Не различает</t>
        </is>
      </c>
      <c r="J2" s="2" t="inlineStr"/>
      <c r="K2" s="2" t="inlineStr"/>
    </row>
    <row r="3">
      <c r="A3" s="2" t="inlineStr">
        <is>
          <t>1.2</t>
        </is>
      </c>
      <c r="B3" s="2" t="inlineStr">
        <is>
          <t>1. Теория</t>
        </is>
      </c>
      <c r="C3" s="2" t="inlineStr">
        <is>
          <t>Техники тест-дизайна + пример для REST endpoint</t>
        </is>
      </c>
      <c r="D3" s="2" t="n">
        <v>3</v>
      </c>
      <c r="E3" s="2" t="inlineStr"/>
      <c r="F3" s="2" t="inlineStr">
        <is>
          <t>≥3 техники + конкретные данные (limit, auth, пагинация)</t>
        </is>
      </c>
      <c r="G3" s="2" t="inlineStr">
        <is>
          <t>2 техники</t>
        </is>
      </c>
      <c r="H3" s="2" t="inlineStr">
        <is>
          <t>Только границы</t>
        </is>
      </c>
      <c r="I3" s="2" t="inlineStr">
        <is>
          <t>Не называет</t>
        </is>
      </c>
      <c r="J3" s="2" t="inlineStr"/>
      <c r="K3" s="2" t="inlineStr"/>
    </row>
    <row r="4">
      <c r="A4" s="2" t="inlineStr">
        <is>
          <t>1.3</t>
        </is>
      </c>
      <c r="B4" s="2" t="inlineStr">
        <is>
          <t>1. Теория</t>
        </is>
      </c>
      <c r="C4" s="2" t="inlineStr">
        <is>
          <t>Как тестируете требования до разработки?</t>
        </is>
      </c>
      <c r="D4" s="2" t="n">
        <v>3</v>
      </c>
      <c r="E4" s="2" t="inlineStr"/>
      <c r="F4" s="2" t="inlineStr">
        <is>
          <t>AC, негатив, NFR, аналитика, Figma, вопросы на груминге</t>
        </is>
      </c>
      <c r="G4" s="2" t="inlineStr">
        <is>
          <t>Читает ТЗ</t>
        </is>
      </c>
      <c r="H4" s="2" t="inlineStr">
        <is>
          <t>Общие слова</t>
        </is>
      </c>
      <c r="I4" s="2" t="inlineStr">
        <is>
          <t>Не делает review</t>
        </is>
      </c>
      <c r="J4" s="2" t="inlineStr"/>
      <c r="K4" s="2" t="inlineStr"/>
    </row>
    <row r="5">
      <c r="A5" s="2" t="inlineStr">
        <is>
          <t>2.1</t>
        </is>
      </c>
      <c r="B5" s="2" t="inlineStr">
        <is>
          <t>2. Web</t>
        </is>
      </c>
      <c r="C5" s="2" t="inlineStr">
        <is>
          <t>DevTools при баге на UI — что смотрите?</t>
        </is>
      </c>
      <c r="D5" s="2" t="n">
        <v>2</v>
      </c>
      <c r="E5" s="2" t="inlineStr"/>
      <c r="F5" s="2" t="inlineStr">
        <is>
          <t>Network + Console + сравнение со Swagger</t>
        </is>
      </c>
      <c r="G5" s="2" t="inlineStr">
        <is>
          <t>Только Network</t>
        </is>
      </c>
      <c r="H5" s="2" t="inlineStr">
        <is>
          <t>—</t>
        </is>
      </c>
      <c r="I5" s="2" t="inlineStr">
        <is>
          <t>Не знает</t>
        </is>
      </c>
      <c r="J5" s="2" t="inlineStr"/>
      <c r="K5" s="2" t="inlineStr"/>
    </row>
    <row r="6">
      <c r="A6" s="2" t="inlineStr">
        <is>
          <t>2.2</t>
        </is>
      </c>
      <c r="B6" s="2" t="inlineStr">
        <is>
          <t>2. Web</t>
        </is>
      </c>
      <c r="C6" s="2" t="inlineStr">
        <is>
          <t>Кэш / устаревшие данные на UI</t>
        </is>
      </c>
      <c r="D6" s="2" t="n">
        <v>2</v>
      </c>
      <c r="E6" s="2" t="inlineStr"/>
      <c r="F6" s="2" t="inlineStr">
        <is>
          <t>Headers, hard refresh, API/SQL сверка</t>
        </is>
      </c>
      <c r="G6" s="2" t="inlineStr">
        <is>
          <t>Только Ctrl+F5</t>
        </is>
      </c>
      <c r="H6" s="2" t="inlineStr">
        <is>
          <t>—</t>
        </is>
      </c>
      <c r="I6" s="2" t="inlineStr">
        <is>
          <t>—</t>
        </is>
      </c>
      <c r="J6" s="2" t="inlineStr"/>
      <c r="K6" s="2" t="inlineStr"/>
    </row>
    <row r="7">
      <c r="A7" s="2" t="inlineStr">
        <is>
          <t>3.1</t>
        </is>
      </c>
      <c r="B7" s="2" t="inlineStr">
        <is>
          <t>3. Mobile</t>
        </is>
      </c>
      <c r="C7" s="2" t="inlineStr">
        <is>
          <t>Чем mobile отличается от web?</t>
        </is>
      </c>
      <c r="D7" s="2" t="n">
        <v>3</v>
      </c>
      <c r="E7" s="2" t="inlineStr"/>
      <c r="F7" s="2" t="inlineStr">
        <is>
          <t>lifecycle, push, offline, OS, store, deep links</t>
        </is>
      </c>
      <c r="G7" s="2" t="inlineStr">
        <is>
          <t>3–4 пункта</t>
        </is>
      </c>
      <c r="H7" s="2" t="inlineStr">
        <is>
          <t>2 пункта</t>
        </is>
      </c>
      <c r="I7" s="2" t="inlineStr">
        <is>
          <t>Общие слова</t>
        </is>
      </c>
      <c r="J7" s="2" t="inlineStr"/>
      <c r="K7" s="2" t="inlineStr"/>
    </row>
    <row r="8">
      <c r="A8" s="2" t="inlineStr">
        <is>
          <t>3.2</t>
        </is>
      </c>
      <c r="B8" s="2" t="inlineStr">
        <is>
          <t>3. Mobile</t>
        </is>
      </c>
      <c r="C8" s="2" t="inlineStr">
        <is>
          <t>Charles / Proxyman — зачем и как?</t>
        </is>
      </c>
      <c r="D8" s="2" t="n">
        <v>3</v>
      </c>
      <c r="E8" s="2" t="inlineStr"/>
      <c r="F8" s="2" t="inlineStr">
        <is>
          <t>перехват, mock, pinning, retry, WebSocket</t>
        </is>
      </c>
      <c r="G8" s="2" t="inlineStr">
        <is>
          <t>Смотрю запросы</t>
        </is>
      </c>
      <c r="H8" s="2" t="inlineStr">
        <is>
          <t>Не пользовался</t>
        </is>
      </c>
      <c r="I8" s="2" t="inlineStr">
        <is>
          <t>—</t>
        </is>
      </c>
      <c r="J8" s="2" t="inlineStr"/>
      <c r="K8" s="2" t="inlineStr"/>
    </row>
    <row r="9">
      <c r="A9" s="2" t="inlineStr">
        <is>
          <t>3.3</t>
        </is>
      </c>
      <c r="B9" s="2" t="inlineStr">
        <is>
          <t>3. Mobile</t>
        </is>
      </c>
      <c r="C9" s="2" t="inlineStr">
        <is>
          <t>Регресс перед релизом мобильного приложения</t>
        </is>
      </c>
      <c r="D9" s="2" t="n">
        <v>4</v>
      </c>
      <c r="E9" s="2" t="inlineStr"/>
      <c r="F9" s="2" t="inlineStr">
        <is>
          <t>матрица устройств, build, go/no-go, метрики</t>
        </is>
      </c>
      <c r="G9" s="2" t="inlineStr">
        <is>
          <t>Чек-лист без критериев</t>
        </is>
      </c>
      <c r="H9" s="2" t="inlineStr">
        <is>
          <t>Нет процесса</t>
        </is>
      </c>
      <c r="I9" s="2" t="inlineStr">
        <is>
          <t>—</t>
        </is>
      </c>
      <c r="J9" s="2" t="inlineStr"/>
      <c r="K9" s="2" t="inlineStr"/>
    </row>
    <row r="10">
      <c r="A10" s="2" t="inlineStr">
        <is>
          <t>4.1</t>
        </is>
      </c>
      <c r="B10" s="2" t="inlineStr">
        <is>
          <t>4. API</t>
        </is>
      </c>
      <c r="C10" s="2" t="inlineStr">
        <is>
          <t>REST: что проверяете помимо 200?</t>
        </is>
      </c>
      <c r="D10" s="2" t="n">
        <v>4</v>
      </c>
      <c r="E10" s="2" t="inlineStr"/>
      <c r="F10" s="2" t="inlineStr">
        <is>
          <t>≥5 кодов + валидация + пагинация + auth</t>
        </is>
      </c>
      <c r="G10" s="2" t="inlineStr">
        <is>
          <t>3–4 кода</t>
        </is>
      </c>
      <c r="H10" s="2" t="inlineStr">
        <is>
          <t>Только 404</t>
        </is>
      </c>
      <c r="I10" s="2" t="inlineStr">
        <is>
          <t>—</t>
        </is>
      </c>
      <c r="J10" s="2" t="inlineStr"/>
      <c r="K10" s="2" t="inlineStr"/>
    </row>
    <row r="11">
      <c r="A11" s="2" t="inlineStr">
        <is>
          <t>4.2</t>
        </is>
      </c>
      <c r="B11" s="2" t="inlineStr">
        <is>
          <t>4. API</t>
        </is>
      </c>
      <c r="C11" s="2" t="inlineStr">
        <is>
          <t>Тестирование через Kafka</t>
        </is>
      </c>
      <c r="D11" s="2" t="n">
        <v>5</v>
      </c>
      <c r="E11" s="2" t="inlineStr"/>
      <c r="F11" s="2" t="inlineStr">
        <is>
          <t>event→эффект; дубликаты; DLQ; trace-id</t>
        </is>
      </c>
      <c r="G11" s="2" t="inlineStr">
        <is>
          <t>Отправка в топик</t>
        </is>
      </c>
      <c r="H11" s="2" t="inlineStr">
        <is>
          <t>Не знает Kafka</t>
        </is>
      </c>
      <c r="I11" s="2" t="inlineStr">
        <is>
          <t>—</t>
        </is>
      </c>
      <c r="J11" s="2" t="inlineStr"/>
      <c r="K11" s="2" t="inlineStr"/>
    </row>
    <row r="12">
      <c r="A12" s="2" t="inlineStr">
        <is>
          <t>4.3</t>
        </is>
      </c>
      <c r="B12" s="2" t="inlineStr">
        <is>
          <t>4. API</t>
        </is>
      </c>
      <c r="C12" s="2" t="inlineStr">
        <is>
          <t>Локализация бага: фронт / API / сервис</t>
        </is>
      </c>
      <c r="D12" s="2" t="n">
        <v>5</v>
      </c>
      <c r="E12" s="2" t="inlineStr"/>
      <c r="F12" s="2" t="inlineStr">
        <is>
          <t>Postman изоляция + логи + SQL + порядок шагов</t>
        </is>
      </c>
      <c r="G12" s="2" t="inlineStr">
        <is>
          <t>2 из 3</t>
        </is>
      </c>
      <c r="H12" s="2" t="inlineStr">
        <is>
          <t>Угадывает</t>
        </is>
      </c>
      <c r="I12" s="2" t="inlineStr">
        <is>
          <t>—</t>
        </is>
      </c>
      <c r="J12" s="2" t="inlineStr"/>
      <c r="K12" s="2" t="inlineStr"/>
    </row>
    <row r="13">
      <c r="A13" s="2" t="inlineStr">
        <is>
          <t>5.1</t>
        </is>
      </c>
      <c r="B13" s="2" t="inlineStr">
        <is>
          <t>5. SQL</t>
        </is>
      </c>
      <c r="C13" s="2" t="inlineStr">
        <is>
          <t>Зачем QA SQL в микросервисах?</t>
        </is>
      </c>
      <c r="D13" s="2" t="n">
        <v>2</v>
      </c>
      <c r="E13" s="2" t="inlineStr"/>
      <c r="F13" s="2" t="inlineStr">
        <is>
          <t>side-effects, данные, расследование, read-only prod</t>
        </is>
      </c>
      <c r="G13" s="2" t="inlineStr">
        <is>
          <t>Частично</t>
        </is>
      </c>
      <c r="H13" s="2" t="inlineStr">
        <is>
          <t>—</t>
        </is>
      </c>
      <c r="I13" s="2" t="inlineStr">
        <is>
          <t>Не нужен SQL</t>
        </is>
      </c>
      <c r="J13" s="2" t="inlineStr"/>
      <c r="K13" s="2" t="inlineStr"/>
    </row>
    <row r="14">
      <c r="A14" s="2" t="inlineStr">
        <is>
          <t>5.2</t>
        </is>
      </c>
      <c r="B14" s="2" t="inlineStr">
        <is>
          <t>5. SQL</t>
        </is>
      </c>
      <c r="C14" s="2" t="inlineStr">
        <is>
          <t>Запрос: active подписки с expires_at &lt; NOW()</t>
        </is>
      </c>
      <c r="D14" s="2" t="n">
        <v>6</v>
      </c>
      <c r="E14" s="2" t="inlineStr"/>
      <c r="F14" s="2" t="inlineStr">
        <is>
          <t>Корректный SELECT WHERE; JOIN; осторожность на проде</t>
        </is>
      </c>
      <c r="G14" s="2" t="inlineStr">
        <is>
          <t>Идея верная, синтаксис</t>
        </is>
      </c>
      <c r="H14" s="2" t="inlineStr">
        <is>
          <t>Неверная логика</t>
        </is>
      </c>
      <c r="I14" s="2" t="inlineStr">
        <is>
          <t>—</t>
        </is>
      </c>
      <c r="J14" s="2" t="inlineStr"/>
      <c r="K14" s="2" t="inlineStr"/>
    </row>
    <row r="15">
      <c r="A15" s="2" t="inlineStr">
        <is>
          <t>6.1</t>
        </is>
      </c>
      <c r="B15" s="2" t="inlineStr">
        <is>
          <t>6. Логи/NFR</t>
        </is>
      </c>
      <c r="C15" s="2" t="inlineStr">
        <is>
          <t>Поиск причины 500 в OpenSearch/Kibana</t>
        </is>
      </c>
      <c r="D15" s="2" t="n">
        <v>4</v>
      </c>
      <c r="E15" s="2" t="inlineStr"/>
      <c r="F15" s="2" t="inlineStr">
        <is>
          <t>trace_id, сервис, ERROR, артефакты для dev</t>
        </is>
      </c>
      <c r="G15" s="2" t="inlineStr">
        <is>
          <t>время + уровень</t>
        </is>
      </c>
      <c r="H15" s="2" t="inlineStr">
        <is>
          <t>смотрю логи</t>
        </is>
      </c>
      <c r="I15" s="2" t="inlineStr">
        <is>
          <t>—</t>
        </is>
      </c>
      <c r="J15" s="2" t="inlineStr"/>
      <c r="K15" s="2" t="inlineStr"/>
    </row>
    <row r="16">
      <c r="A16" s="2" t="inlineStr">
        <is>
          <t>6.2</t>
        </is>
      </c>
      <c r="B16" s="2" t="inlineStr">
        <is>
          <t>6. Логи/NFR</t>
        </is>
      </c>
      <c r="C16" s="2" t="inlineStr">
        <is>
          <t>NFR на highload e-com</t>
        </is>
      </c>
      <c r="D16" s="2" t="n">
        <v>4</v>
      </c>
      <c r="E16" s="2" t="inlineStr"/>
      <c r="F16" s="2" t="inlineStr">
        <is>
          <t>таймауты, идемпотентность оплаты, rate limit, алерты</t>
        </is>
      </c>
      <c r="G16" s="2" t="inlineStr">
        <is>
          <t>нагрузочное тестирование</t>
        </is>
      </c>
      <c r="H16" s="2" t="inlineStr">
        <is>
          <t>—</t>
        </is>
      </c>
      <c r="I16" s="2" t="inlineStr">
        <is>
          <t>—</t>
        </is>
      </c>
      <c r="J16" s="2" t="inlineStr"/>
      <c r="K16" s="2" t="inlineStr"/>
    </row>
    <row r="17">
      <c r="A17" s="2" t="inlineStr">
        <is>
          <t>7.1</t>
        </is>
      </c>
      <c r="B17" s="2" t="inlineStr">
        <is>
          <t>7. Процессы</t>
        </is>
      </c>
      <c r="C17" s="2" t="inlineStr">
        <is>
          <t>QA с нуля / QA Notes / тест-прогоны</t>
        </is>
      </c>
      <c r="D17" s="2" t="n">
        <v>4</v>
      </c>
      <c r="E17" s="2" t="inlineStr"/>
      <c r="F17" s="2" t="inlineStr">
        <is>
          <t>процесс, TMS, DoD, метрики, пример внедрения</t>
        </is>
      </c>
      <c r="G17" s="2" t="inlineStr">
        <is>
          <t>без метрик</t>
        </is>
      </c>
      <c r="H17" s="2" t="inlineStr">
        <is>
          <t>общие слова</t>
        </is>
      </c>
      <c r="I17" s="2" t="inlineStr">
        <is>
          <t>—</t>
        </is>
      </c>
      <c r="J17" s="2" t="inlineStr"/>
      <c r="K17" s="2" t="inlineStr"/>
    </row>
    <row r="18">
      <c r="A18" s="2" t="inlineStr">
        <is>
          <t>7.2</t>
        </is>
      </c>
      <c r="B18" s="2" t="inlineStr">
        <is>
          <t>7. Процессы</t>
        </is>
      </c>
      <c r="C18" s="2" t="inlineStr">
        <is>
          <t>Приоритизация багов перед релизом</t>
        </is>
      </c>
      <c r="D18" s="2" t="n">
        <v>3</v>
      </c>
      <c r="E18" s="2" t="inlineStr"/>
      <c r="F18" s="2" t="inlineStr">
        <is>
          <t>severity×priority×blast radius×обходной путь</t>
        </is>
      </c>
      <c r="G18" s="2" t="inlineStr">
        <is>
          <t>только severity</t>
        </is>
      </c>
      <c r="H18" s="2" t="inlineStr">
        <is>
          <t>—</t>
        </is>
      </c>
      <c r="I18" s="2" t="inlineStr">
        <is>
          <t>—</t>
        </is>
      </c>
      <c r="J18" s="2" t="inlineStr"/>
      <c r="K18" s="2" t="inlineStr"/>
    </row>
    <row r="19">
      <c r="A19" s="2" t="inlineStr">
        <is>
          <t>7.3</t>
        </is>
      </c>
      <c r="B19" s="2" t="inlineStr">
        <is>
          <t>7. Lead</t>
        </is>
      </c>
      <c r="C19" s="2" t="inlineStr">
        <is>
          <t>Как проводите собеседования (только Lead)</t>
        </is>
      </c>
      <c r="D19" s="2" t="n">
        <v>3</v>
      </c>
      <c r="E19" s="2" t="inlineStr"/>
      <c r="F19" s="2" t="inlineStr">
        <is>
          <t>структура, компетенции, антибиас, фидбек</t>
        </is>
      </c>
      <c r="G19" s="2" t="inlineStr">
        <is>
          <t>без критериев</t>
        </is>
      </c>
      <c r="H19" s="2" t="inlineStr">
        <is>
          <t>—</t>
        </is>
      </c>
      <c r="I19" s="2" t="inlineStr">
        <is>
          <t>N/A Middle/Senior</t>
        </is>
      </c>
      <c r="J19" s="2" t="inlineStr"/>
      <c r="K19" s="2" t="inlineStr"/>
    </row>
    <row r="20">
      <c r="A20" s="2" t="inlineStr">
        <is>
          <t>7.4</t>
        </is>
      </c>
      <c r="B20" s="2" t="inlineStr">
        <is>
          <t>7. Процессы</t>
        </is>
      </c>
      <c r="C20" s="2" t="inlineStr">
        <is>
          <t>Kanban vs Scrum</t>
        </is>
      </c>
      <c r="D20" s="2" t="n">
        <v>2</v>
      </c>
      <c r="E20" s="2" t="inlineStr"/>
      <c r="F20" s="2" t="inlineStr">
        <is>
          <t>когда что + фокус на прозрачность, не название</t>
        </is>
      </c>
      <c r="G20" s="2" t="inlineStr">
        <is>
          <t>одно предпочтение</t>
        </is>
      </c>
      <c r="H20" s="2" t="inlineStr">
        <is>
          <t>—</t>
        </is>
      </c>
      <c r="I20" s="2" t="inlineStr">
        <is>
          <t>—</t>
        </is>
      </c>
      <c r="J20" s="2" t="inlineStr"/>
      <c r="K20" s="2" t="inlineStr"/>
    </row>
    <row r="21">
      <c r="A21" s="2" t="inlineStr">
        <is>
          <t>8.1</t>
        </is>
      </c>
      <c r="B21" s="2" t="inlineStr">
        <is>
          <t>8. Python</t>
        </is>
      </c>
      <c r="C21" s="2" t="inlineStr">
        <is>
          <t>Где используете Python в QA?</t>
        </is>
      </c>
      <c r="D21" s="2" t="n">
        <v>4</v>
      </c>
      <c r="E21" s="2" t="inlineStr"/>
      <c r="F21" s="2" t="inlineStr">
        <is>
          <t>API checks, данные, логи; ROI автоматизации</t>
        </is>
      </c>
      <c r="G21" s="2" t="inlineStr">
        <is>
          <t>писал немного</t>
        </is>
      </c>
      <c r="H21" s="2" t="inlineStr">
        <is>
          <t>—</t>
        </is>
      </c>
      <c r="I21" s="2" t="inlineStr">
        <is>
          <t>нет опыта</t>
        </is>
      </c>
      <c r="J21" s="2" t="inlineStr"/>
      <c r="K21" s="2" t="inlineStr"/>
    </row>
    <row r="23">
      <c r="A23" s="3" t="inlineStr">
        <is>
          <t>ИТОГО вопросы</t>
        </is>
      </c>
      <c r="B23" s="3" t="n"/>
      <c r="C23" s="3" t="n"/>
      <c r="D23" s="3">
        <f>SUM(D2:D21)</f>
        <v/>
      </c>
      <c r="E23" s="3">
        <f>SUM(E2:E21)</f>
        <v/>
      </c>
    </row>
  </sheetData>
  <dataValidations count="1">
    <dataValidation sqref="E2:E21" showDropDown="0" showInputMessage="0" showErrorMessage="0" allowBlank="1" error="Введите целое число 0–10 (не больше «Макс.»)" type="whole" operator="between">
      <formula1>0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6" customWidth="1" min="3" max="3"/>
    <col width="6" customWidth="1" min="4" max="4"/>
    <col width="36" customWidth="1" min="5" max="5"/>
    <col width="28" customWidth="1" min="6" max="6"/>
    <col width="22" customWidth="1" min="7" max="7"/>
    <col width="24" customWidth="1" min="8" max="8"/>
  </cols>
  <sheetData>
    <row r="1" ht="22" customHeight="1">
      <c r="A1" s="1" t="inlineStr">
        <is>
          <t>Кейс</t>
        </is>
      </c>
      <c r="B1" s="1" t="inlineStr">
        <is>
          <t>Критерий</t>
        </is>
      </c>
      <c r="C1" s="1" t="inlineStr">
        <is>
          <t>Макс.</t>
        </is>
      </c>
      <c r="D1" s="1" t="inlineStr">
        <is>
          <t>Балл</t>
        </is>
      </c>
      <c r="E1" s="1" t="inlineStr">
        <is>
          <t>6 баллов</t>
        </is>
      </c>
      <c r="F1" s="1" t="inlineStr">
        <is>
          <t>3 балла</t>
        </is>
      </c>
      <c r="G1" s="1" t="inlineStr">
        <is>
          <t>0 баллов</t>
        </is>
      </c>
      <c r="H1" s="1" t="inlineStr">
        <is>
          <t>Комментарий</t>
        </is>
      </c>
    </row>
    <row r="2">
      <c r="A2" s="4" t="inlineStr">
        <is>
          <t>Выберите ОДИН кейс: A или B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A. E-com подписка</t>
        </is>
      </c>
      <c r="B3" s="2" t="inlineStr">
        <is>
          <t>A1. План расследования</t>
        </is>
      </c>
      <c r="C3" s="2" t="n">
        <v>6</v>
      </c>
      <c r="D3" s="2" t="inlineStr"/>
      <c r="E3" s="2" t="inlineStr">
        <is>
          <t>repro → id → время → окружение → артефакты</t>
        </is>
      </c>
      <c r="F3" s="2" t="inlineStr">
        <is>
          <t>Неполный план / 2–3 проверки / 1 гипотеза / баг без severity</t>
        </is>
      </c>
      <c r="G3" s="2" t="inlineStr">
        <is>
          <t>Только UI / переустановка / неверная локализация</t>
        </is>
      </c>
      <c r="H3" s="2" t="inlineStr"/>
    </row>
    <row r="4">
      <c r="A4" s="2" t="inlineStr">
        <is>
          <t>A. E-com подписка</t>
        </is>
      </c>
      <c r="B4" s="2" t="inlineStr">
        <is>
          <t>A2. Инструменты (API/SQL/Kafka/логи)</t>
        </is>
      </c>
      <c r="C4" s="2" t="n">
        <v>6</v>
      </c>
      <c r="D4" s="2" t="inlineStr"/>
      <c r="E4" s="2" t="inlineStr">
        <is>
          <t>API + SQL + Kafka + OpenSearch + Network</t>
        </is>
      </c>
      <c r="F4" s="2" t="inlineStr">
        <is>
          <t>Неполный план / 2–3 проверки / 1 гипотеза / баг без severity</t>
        </is>
      </c>
      <c r="G4" s="2" t="inlineStr">
        <is>
          <t>Только UI / переустановка / неверная локализация</t>
        </is>
      </c>
      <c r="H4" s="2" t="inlineStr"/>
    </row>
    <row r="5">
      <c r="A5" s="2" t="inlineStr">
        <is>
          <t>A. E-com подписка</t>
        </is>
      </c>
      <c r="B5" s="2" t="inlineStr">
        <is>
          <t>A3. Гипотезы (≥3)</t>
        </is>
      </c>
      <c r="C5" s="2" t="n">
        <v>6</v>
      </c>
      <c r="D5" s="2" t="inlineStr"/>
      <c r="E5" s="2" t="inlineStr">
        <is>
          <t>race, mapper, cron, TZ, идемпотентность</t>
        </is>
      </c>
      <c r="F5" s="2" t="inlineStr">
        <is>
          <t>Неполный план / 2–3 проверки / 1 гипотеза / баг без severity</t>
        </is>
      </c>
      <c r="G5" s="2" t="inlineStr">
        <is>
          <t>Только UI / переустановка / неверная локализация</t>
        </is>
      </c>
      <c r="H5" s="2" t="inlineStr"/>
    </row>
    <row r="6">
      <c r="A6" s="2" t="inlineStr">
        <is>
          <t>A. E-com подписка</t>
        </is>
      </c>
      <c r="B6" s="2" t="inlineStr">
        <is>
          <t>A4. Баг-репорт и риски релиза</t>
        </is>
      </c>
      <c r="C6" s="2" t="n">
        <v>6</v>
      </c>
      <c r="D6" s="2" t="inlineStr"/>
      <c r="E6" s="2" t="inlineStr">
        <is>
          <t>Critical/High, блокер hotfix, риск «деньги без услуги»</t>
        </is>
      </c>
      <c r="F6" s="2" t="inlineStr">
        <is>
          <t>Неполный план / 2–3 проверки / 1 гипотеза / баг без severity</t>
        </is>
      </c>
      <c r="G6" s="2" t="inlineStr">
        <is>
          <t>Только UI / переустановка / неверная локализация</t>
        </is>
      </c>
      <c r="H6" s="2" t="inlineStr"/>
    </row>
    <row r="7">
      <c r="A7" s="2" t="inlineStr">
        <is>
          <t>B. Mobile сообщение</t>
        </is>
      </c>
      <c r="B7" s="2" t="inlineStr">
        <is>
          <t>B1. Стратегия (не гадать)</t>
        </is>
      </c>
      <c r="C7" s="2" t="n">
        <v>6</v>
      </c>
      <c r="D7" s="2" t="inlineStr"/>
      <c r="E7" s="2" t="inlineStr">
        <is>
          <t>проверка message_id в API для B</t>
        </is>
      </c>
      <c r="F7" s="2" t="inlineStr">
        <is>
          <t>Неполный план / 2–3 проверки / 1 гипотеза / баг без severity</t>
        </is>
      </c>
      <c r="G7" s="2" t="inlineStr">
        <is>
          <t>Только UI / переустановка / неверная локализация</t>
        </is>
      </c>
      <c r="H7" s="2" t="inlineStr"/>
    </row>
    <row r="8">
      <c r="A8" s="2" t="inlineStr">
        <is>
          <t>B. Mobile сообщение</t>
        </is>
      </c>
      <c r="B8" s="2" t="inlineStr">
        <is>
          <t>B2. Матрица тестов</t>
        </is>
      </c>
      <c r="C8" s="2" t="n">
        <v>6</v>
      </c>
      <c r="D8" s="2" t="inlineStr"/>
      <c r="E8" s="2" t="inlineStr">
        <is>
          <t>другой клиент, аккаунт, сеть, версия, Web</t>
        </is>
      </c>
      <c r="F8" s="2" t="inlineStr">
        <is>
          <t>Неполный план / 2–3 проверки / 1 гипотеза / баг без severity</t>
        </is>
      </c>
      <c r="G8" s="2" t="inlineStr">
        <is>
          <t>Только UI / переустановка / неверная локализация</t>
        </is>
      </c>
      <c r="H8" s="2" t="inlineStr"/>
    </row>
    <row r="9">
      <c r="A9" s="2" t="inlineStr">
        <is>
          <t>B. Mobile сообщение</t>
        </is>
      </c>
      <c r="B9" s="2" t="inlineStr">
        <is>
          <t>B3. Sync / push</t>
        </is>
      </c>
      <c r="C9" s="2" t="n">
        <v>6</v>
      </c>
      <c r="D9" s="2" t="inlineStr"/>
      <c r="E9" s="2" t="inlineStr">
        <is>
          <t>sync cursor, websocket, push token, ordering</t>
        </is>
      </c>
      <c r="F9" s="2" t="inlineStr">
        <is>
          <t>Неполный план / 2–3 проверки / 1 гипотеза / баг без severity</t>
        </is>
      </c>
      <c r="G9" s="2" t="inlineStr">
        <is>
          <t>Только UI / переустановка / неверная локализация</t>
        </is>
      </c>
      <c r="H9" s="2" t="inlineStr"/>
    </row>
    <row r="10">
      <c r="A10" s="2" t="inlineStr">
        <is>
          <t>B. Mobile сообщение</t>
        </is>
      </c>
      <c r="B10" s="2" t="inlineStr">
        <is>
          <t>B4. Регресс после фикса</t>
        </is>
      </c>
      <c r="C10" s="2" t="n">
        <v>6</v>
      </c>
      <c r="D10" s="2" t="inlineStr"/>
      <c r="E10" s="2" t="inlineStr">
        <is>
          <t>≥5 сценариев: фон, offline, файлы, порядок, badge</t>
        </is>
      </c>
      <c r="F10" s="2" t="inlineStr">
        <is>
          <t>Неполный план / 2–3 проверки / 1 гипотеза / баг без severity</t>
        </is>
      </c>
      <c r="G10" s="2" t="inlineStr">
        <is>
          <t>Только UI / переустановка / неверная локализация</t>
        </is>
      </c>
      <c r="H10" s="2" t="inlineStr"/>
    </row>
    <row r="12">
      <c r="A12" t="inlineStr">
        <is>
          <t>ИТОГО кейс (оцените 4 строки выбранного кейса A или B)</t>
        </is>
      </c>
      <c r="C12" t="n">
        <v>24</v>
      </c>
      <c r="D12">
        <f>MAX(SUM(D3:D6),SUM(D7:D10))</f>
        <v/>
      </c>
    </row>
  </sheetData>
  <dataValidations count="1">
    <dataValidation sqref="D3:D10" showDropDown="0" showInputMessage="0" showErrorMessage="0" allowBlank="1" type="whole" operator="between">
      <formula1>0</formula1>
      <formula2>6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8" customWidth="1" min="3" max="3"/>
    <col width="6" customWidth="1" min="4" max="4"/>
    <col width="6" customWidth="1" min="5" max="5"/>
    <col width="40" customWidth="1" min="6" max="6"/>
    <col width="22" customWidth="1" min="7" max="7"/>
  </cols>
  <sheetData>
    <row r="1" ht="22" customHeight="1">
      <c r="A1" s="1" t="inlineStr">
        <is>
          <t>ID</t>
        </is>
      </c>
      <c r="B1" s="1" t="inlineStr">
        <is>
          <t>Зона</t>
        </is>
      </c>
      <c r="C1" s="1" t="inlineStr">
        <is>
          <t>Граничная проверка</t>
        </is>
      </c>
      <c r="D1" s="1" t="inlineStr">
        <is>
          <t>Макс.</t>
        </is>
      </c>
      <c r="E1" s="1" t="inlineStr">
        <is>
          <t>Балл</t>
        </is>
      </c>
      <c r="F1" s="1" t="inlineStr">
        <is>
          <t>Эталон (ожидание)</t>
        </is>
      </c>
      <c r="G1" s="1" t="inlineStr">
        <is>
          <t>Комментарий</t>
        </is>
      </c>
    </row>
    <row r="2">
      <c r="A2" s="2" t="inlineStr">
        <is>
          <t>G-01</t>
        </is>
      </c>
      <c r="B2" s="2" t="inlineStr">
        <is>
          <t>URL/локаль</t>
        </is>
      </c>
      <c r="C2" s="2" t="inlineStr">
        <is>
          <t>/ru vs /ru/, несуществующая локаль /xx</t>
        </is>
      </c>
      <c r="D2" s="2" t="n">
        <v>1</v>
      </c>
      <c r="E2" s="2" t="inlineStr">
        <is>
          <t>Редирект или 404 по ТЗ, без циклов</t>
        </is>
      </c>
      <c r="F2" s="2" t="inlineStr"/>
      <c r="G2" s="2" t="n"/>
    </row>
    <row r="3">
      <c r="A3" s="2" t="inlineStr">
        <is>
          <t>G-02</t>
        </is>
      </c>
      <c r="B3" s="2" t="inlineStr">
        <is>
          <t>URL/локаль</t>
        </is>
      </c>
      <c r="C3" s="2" t="inlineStr">
        <is>
          <t>Конфликт URL /en и localStorage f2f_language=ru</t>
        </is>
      </c>
      <c r="D3" s="2" t="n">
        <v>1</v>
      </c>
      <c r="E3" s="2" t="inlineStr">
        <is>
          <t>Приоритет зафиксирован, нет смешения языков</t>
        </is>
      </c>
      <c r="F3" s="2" t="inlineStr"/>
      <c r="G3" s="2" t="n"/>
    </row>
    <row r="4">
      <c r="A4" s="2" t="inlineStr">
        <is>
          <t>G-03</t>
        </is>
      </c>
      <c r="B4" s="2" t="inlineStr">
        <is>
          <t>Cookie</t>
        </is>
      </c>
      <c r="C4" s="2" t="inlineStr">
        <is>
          <t>Первый визит / accept / инкогнито</t>
        </is>
      </c>
      <c r="D4" s="2" t="n">
        <v>1</v>
      </c>
      <c r="E4" s="2" t="inlineStr">
        <is>
          <t>Баннер и скрытие после accept</t>
        </is>
      </c>
      <c r="F4" s="2" t="inlineStr"/>
      <c r="G4" s="2" t="n"/>
    </row>
    <row r="5">
      <c r="A5" s="2" t="inlineStr">
        <is>
          <t>G-04</t>
        </is>
      </c>
      <c r="B5" s="2" t="inlineStr">
        <is>
          <t>Hero</t>
        </is>
      </c>
      <c r="C5" s="2" t="inlineStr">
        <is>
          <t>iOS video playsinline, Slow 3G, autoplay off</t>
        </is>
      </c>
      <c r="D5" s="2" t="n">
        <v>1</v>
      </c>
      <c r="E5" s="2" t="inlineStr">
        <is>
          <t>CTA доступен, layout не ломается</t>
        </is>
      </c>
      <c r="F5" s="2" t="inlineStr"/>
      <c r="G5" s="2" t="n"/>
    </row>
    <row r="6">
      <c r="A6" s="2" t="inlineStr">
        <is>
          <t>G-05</t>
        </is>
      </c>
      <c r="B6" s="2" t="inlineStr">
        <is>
          <t>Ивенты</t>
        </is>
      </c>
      <c r="C6" s="2" t="inlineStr">
        <is>
          <t>Слайдер: 1 карточка, быстрые клики стрелок</t>
        </is>
      </c>
      <c r="D6" s="2" t="n">
        <v>1</v>
      </c>
      <c r="E6" s="2" t="inlineStr">
        <is>
          <t>Стрелки disabled, нет гонки</t>
        </is>
      </c>
      <c r="F6" s="2" t="inlineStr"/>
      <c r="G6" s="2" t="n"/>
    </row>
    <row r="7">
      <c r="A7" s="2" t="inlineStr">
        <is>
          <t>G-06</t>
        </is>
      </c>
      <c r="B7" s="2" t="inlineStr">
        <is>
          <t>FAQ</t>
        </is>
      </c>
      <c r="C7" s="2" t="inlineStr">
        <is>
          <t>«Открыть все» → вопрос про античит</t>
        </is>
      </c>
      <c r="D7" s="2" t="n">
        <v>2</v>
      </c>
      <c r="E7" s="2" t="inlineStr">
        <is>
          <t>Пустой ответ = баг Major</t>
        </is>
      </c>
      <c r="F7" s="2" t="inlineStr"/>
      <c r="G7" s="2" t="n"/>
    </row>
    <row r="8">
      <c r="A8" s="2" t="inlineStr">
        <is>
          <t>G-07</t>
        </is>
      </c>
      <c r="B8" s="2" t="inlineStr">
        <is>
          <t>Footer</t>
        </is>
      </c>
      <c r="C8" s="2" t="inlineStr">
        <is>
          <t>PDF RU/EN по data-lang, пробелы в имени файла</t>
        </is>
      </c>
      <c r="D8" s="2" t="n">
        <v>1</v>
      </c>
      <c r="E8" s="2" t="inlineStr">
        <is>
          <t>200, верные документы на локали</t>
        </is>
      </c>
      <c r="F8" s="2" t="inlineStr"/>
      <c r="G8" s="2" t="n"/>
    </row>
    <row r="9">
      <c r="A9" s="2" t="inlineStr">
        <is>
          <t>G-08</t>
        </is>
      </c>
      <c r="B9" s="2" t="inlineStr">
        <is>
          <t>SEO</t>
        </is>
      </c>
      <c r="C9" s="2" t="inlineStr">
        <is>
          <t>og:url, og:image SVG, шаринг в Telegram</t>
        </is>
      </c>
      <c r="D9" s="2" t="n">
        <v>1</v>
      </c>
      <c r="E9" s="2" t="inlineStr">
        <is>
          <t>Кандидат называет риски превью</t>
        </is>
      </c>
      <c r="F9" s="2" t="inlineStr"/>
      <c r="G9" s="2" t="n"/>
    </row>
    <row r="10">
      <c r="A10" s="2" t="inlineStr">
        <is>
          <t>G-09</t>
        </is>
      </c>
      <c r="B10" s="2" t="inlineStr">
        <is>
          <t>Ссылки</t>
        </is>
      </c>
      <c r="C10" s="2" t="inlineStr">
        <is>
          <t>app.f2f.vin недоступен, target=_blank + noopener</t>
        </is>
      </c>
      <c r="D10" s="2" t="n">
        <v>1</v>
      </c>
      <c r="E10" s="2" t="inlineStr">
        <is>
          <t>Лендинг не падает, безопасность</t>
        </is>
      </c>
      <c r="F10" s="2" t="inlineStr"/>
      <c r="G10" s="2" t="n"/>
    </row>
    <row r="11">
      <c r="A11" s="2" t="inlineStr">
        <is>
          <t>G-10</t>
        </is>
      </c>
      <c r="B11" s="2" t="inlineStr">
        <is>
          <t>a11y</t>
        </is>
      </c>
      <c r="C11" s="2" t="inlineStr">
        <is>
          <t>Tab-навигация, FAQ без мыши</t>
        </is>
      </c>
      <c r="D11" s="2" t="n">
        <v>1</v>
      </c>
      <c r="E11" s="2" t="inlineStr">
        <is>
          <t>Фокус и раскрытие FAQ</t>
        </is>
      </c>
      <c r="F11" s="2" t="inlineStr"/>
      <c r="G11" s="2" t="n"/>
    </row>
    <row r="13">
      <c r="A13" t="inlineStr">
        <is>
          <t>ИТОГО граничные (опционально)</t>
        </is>
      </c>
      <c r="C13">
        <f>SUM(C2:C11)</f>
        <v/>
      </c>
      <c r="D13">
        <f>SUM(E2:E11)</f>
        <v/>
      </c>
    </row>
  </sheetData>
  <dataValidations count="1">
    <dataValidation sqref="E2:E11" showDropDown="0" showInputMessage="0" showErrorMessage="0" allowBlank="1" type="whole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8" customWidth="1" min="3" max="3"/>
    <col width="14" customWidth="1" min="4" max="4"/>
    <col width="10" customWidth="1" min="5" max="5"/>
  </cols>
  <sheetData>
    <row r="1" ht="22" customHeight="1">
      <c r="A1" s="1" t="inlineStr">
        <is>
          <t>ID</t>
        </is>
      </c>
      <c r="B1" s="1" t="inlineStr">
        <is>
          <t>Условие</t>
        </is>
      </c>
      <c r="C1" s="1" t="inlineStr">
        <is>
          <t>Штраф</t>
        </is>
      </c>
      <c r="D1" s="1" t="inlineStr">
        <is>
          <t>Применён (да/нет)</t>
        </is>
      </c>
      <c r="E1" s="1" t="inlineStr">
        <is>
          <t>Балл</t>
        </is>
      </c>
    </row>
    <row r="2">
      <c r="A2" s="2" t="inlineStr">
        <is>
          <t>P-01</t>
        </is>
      </c>
      <c r="B2" s="2" t="inlineStr">
        <is>
          <t>Путает регресс и re-test после пояснения</t>
        </is>
      </c>
      <c r="C2" s="2" t="n">
        <v>-3</v>
      </c>
      <c r="D2" s="2" t="inlineStr"/>
      <c r="E2" s="2">
        <f>IF(D2="да",C2,0)</f>
        <v/>
      </c>
    </row>
    <row r="3">
      <c r="A3" s="2" t="inlineStr">
        <is>
          <t>P-02</t>
        </is>
      </c>
      <c r="B3" s="2" t="inlineStr">
        <is>
          <t>Не объясняет 401 / 403 / 404</t>
        </is>
      </c>
      <c r="C3" s="2" t="n">
        <v>-3</v>
      </c>
      <c r="D3" s="2" t="inlineStr"/>
      <c r="E3" s="2">
        <f>IF(D3="да",C3,0)</f>
        <v/>
      </c>
    </row>
    <row r="4">
      <c r="A4" s="2" t="inlineStr">
        <is>
          <t>P-03</t>
        </is>
      </c>
      <c r="B4" s="2" t="inlineStr">
        <is>
          <t>Отрицает SQL на микросервисах без аргументов</t>
        </is>
      </c>
      <c r="C4" s="2" t="n">
        <v>-2</v>
      </c>
      <c r="D4" s="2" t="inlineStr"/>
      <c r="E4" s="2">
        <f>IF(D4="да",C4,0)</f>
        <v/>
      </c>
    </row>
    <row r="5">
      <c r="A5" s="2" t="inlineStr">
        <is>
          <t>P-04</t>
        </is>
      </c>
      <c r="B5" s="2" t="inlineStr">
        <is>
          <t>Blame-only (только вина разработчиков)</t>
        </is>
      </c>
      <c r="C5" s="2" t="n">
        <v>-2</v>
      </c>
      <c r="D5" s="2" t="inlineStr"/>
      <c r="E5" s="2">
        <f>IF(D5="да",C5,0)</f>
        <v/>
      </c>
    </row>
    <row r="6">
      <c r="A6" s="2" t="inlineStr">
        <is>
          <t>P-05</t>
        </is>
      </c>
      <c r="B6" s="2" t="inlineStr">
        <is>
          <t>5+ лет опыта, нет ни одного примера из практики</t>
        </is>
      </c>
      <c r="C6" s="2" t="n">
        <v>-2</v>
      </c>
      <c r="D6" s="2" t="inlineStr"/>
      <c r="E6" s="2">
        <f>IF(D6="да",C6,0)</f>
        <v/>
      </c>
    </row>
    <row r="8">
      <c r="B8" t="inlineStr">
        <is>
          <t>СУММА штрафов (не ниже -10)</t>
        </is>
      </c>
      <c r="E8">
        <f>MAX(-10,SUM(E2:E6))</f>
        <v/>
      </c>
    </row>
  </sheetData>
  <dataValidations count="1">
    <dataValidation sqref="D2:D6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</cols>
  <sheetData>
    <row r="1" ht="20" customHeight="1">
      <c r="A1" s="1" t="inlineStr">
        <is>
          <t>Блок</t>
        </is>
      </c>
      <c r="B1" s="1" t="n"/>
      <c r="C1" s="1" t="n"/>
    </row>
    <row r="2">
      <c r="A2" t="inlineStr">
        <is>
          <t>1. Теория</t>
        </is>
      </c>
      <c r="B2" t="n">
        <v>12</v>
      </c>
      <c r="C2">
        <f>SUMIF(Вопросы!B:B,"1. Теория",Вопросы!E:E)</f>
        <v/>
      </c>
    </row>
    <row r="3">
      <c r="A3" t="inlineStr">
        <is>
          <t>2. Web</t>
        </is>
      </c>
      <c r="B3" t="n">
        <v>8</v>
      </c>
      <c r="C3">
        <f>SUMIF(Вопросы!B:B,"2. Web",Вопросы!E:E)</f>
        <v/>
      </c>
    </row>
    <row r="4">
      <c r="A4" t="inlineStr">
        <is>
          <t>3. Mobile</t>
        </is>
      </c>
      <c r="B4" t="n">
        <v>10</v>
      </c>
      <c r="C4">
        <f>SUMIF(Вопросы!B:B,"3. Mobile",Вопросы!E:E)</f>
        <v/>
      </c>
    </row>
    <row r="5">
      <c r="A5" t="inlineStr">
        <is>
          <t>4. API</t>
        </is>
      </c>
      <c r="B5" t="n">
        <v>14</v>
      </c>
      <c r="C5">
        <f>SUMIF(Вопросы!B:B,"4. API",Вопросы!E:E)</f>
        <v/>
      </c>
    </row>
    <row r="6">
      <c r="A6" t="inlineStr">
        <is>
          <t>5. SQL</t>
        </is>
      </c>
      <c r="B6" t="n">
        <v>8</v>
      </c>
      <c r="C6">
        <f>SUMIF(Вопросы!B:B,"5. SQL",Вопросы!E:E)</f>
        <v/>
      </c>
    </row>
    <row r="7">
      <c r="A7" t="inlineStr">
        <is>
          <t>6. Логи/NFR</t>
        </is>
      </c>
      <c r="B7" t="n">
        <v>8</v>
      </c>
      <c r="C7">
        <f>SUMIF(Вопросы!B:B,"6. Логи/NFR",Вопросы!E:E)</f>
        <v/>
      </c>
    </row>
    <row r="8">
      <c r="A8" t="inlineStr">
        <is>
          <t>7. Процессы+Lead</t>
        </is>
      </c>
      <c r="B8" t="n">
        <v>12</v>
      </c>
      <c r="C8">
        <f>SUMIF(Вопросы!B:B,"7. Процессы",Вопросы!E:E)+SUMIF(Вопросы!B:B,"7. Lead",Вопросы!E:E)</f>
        <v/>
      </c>
    </row>
    <row r="9">
      <c r="A9" t="inlineStr">
        <is>
          <t>8. Python</t>
        </is>
      </c>
      <c r="B9" t="n">
        <v>4</v>
      </c>
      <c r="C9">
        <f>SUMIF(Вопросы!B:B,"8. Python",Вопросы!E:E)</f>
        <v/>
      </c>
    </row>
    <row r="10">
      <c r="A10" t="inlineStr">
        <is>
          <t>9. Практический кейс</t>
        </is>
      </c>
      <c r="B10" t="n">
        <v>24</v>
      </c>
      <c r="C10">
        <f>Кейсы!D12</f>
        <v/>
      </c>
    </row>
    <row r="11">
      <c r="A11" t="inlineStr">
        <is>
          <t>10. Граничные (опц.)</t>
        </is>
      </c>
      <c r="B11" t="n">
        <v>11</v>
      </c>
      <c r="C11">
        <f>Граничные!D13</f>
        <v/>
      </c>
    </row>
    <row r="12">
      <c r="A12" t="inlineStr">
        <is>
          <t>Штрафы</t>
        </is>
      </c>
      <c r="B12" t="n">
        <v>-10</v>
      </c>
      <c r="C12">
        <f>Штрафы!E8</f>
        <v/>
      </c>
    </row>
    <row r="15">
      <c r="A15" s="5" t="inlineStr">
        <is>
          <t>ИТОГО (основная шкала 100)</t>
        </is>
      </c>
      <c r="B15" t="n">
        <v>100</v>
      </c>
      <c r="C15" s="5">
        <f>SUM(C2:C10)+C12</f>
        <v/>
      </c>
    </row>
    <row r="17">
      <c r="A17" t="inlineStr">
        <is>
          <t>Решение</t>
        </is>
      </c>
      <c r="C17">
        <f>IF(C15&gt;=85,"Strong hire (Lead)",IF(C15&gt;=70,"Hire (Senior)",IF(C15&gt;=55,"Hire с оговорками","No hire")))</f>
        <v/>
      </c>
    </row>
    <row r="18">
      <c r="A18" t="inlineStr">
        <is>
          <t>Lead: API ≥10/14</t>
        </is>
      </c>
      <c r="C18">
        <f>IF(SUMIF(Вопросы!B:B,"4. API",Вопросы!E:E)&gt;=10,"OK","FAIL")</f>
        <v/>
      </c>
    </row>
    <row r="19">
      <c r="A19" t="inlineStr">
        <is>
          <t>Lead: Процессы ≥9/12</t>
        </is>
      </c>
      <c r="C19">
        <f>IF((SUMIF(Вопросы!B:B,"7. Процессы",Вопросы!E:E)+SUMIF(Вопросы!B:B,"7. Lead",Вопросы!E:E))&gt;=9,"OK","FAIL")</f>
        <v/>
      </c>
    </row>
    <row r="20">
      <c r="A20" t="inlineStr">
        <is>
          <t>Lead: Кейс ≥18/24</t>
        </is>
      </c>
      <c r="C20">
        <f>IF(Кейсы!D12&gt;=18,"OK","FAIL")</f>
        <v/>
      </c>
    </row>
    <row r="21">
      <c r="A21" t="inlineStr">
        <is>
          <t>Lead итог</t>
        </is>
      </c>
      <c r="C21">
        <f>IF(AND(C18="OK",C19="OK",C20="OK"),"Strong hire возможен","Макс. Senior")</f>
        <v/>
      </c>
    </row>
    <row r="23">
      <c r="A23" t="inlineStr">
        <is>
          <t>Граничные: отдельная оценка /10</t>
        </is>
      </c>
      <c r="C23">
        <f>IF(Граничные!C13=0,0,Граничные!D13/Граничные!C13*10)</f>
        <v/>
      </c>
    </row>
    <row r="24">
      <c r="A24" t="inlineStr">
        <is>
          <t>Граничные: вердикт</t>
        </is>
      </c>
      <c r="C24">
        <f>IF(C23&gt;=8,"Strong",IF(C23&gt;=5,"OK","Weak"))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50" customWidth="1" min="4" max="4"/>
  </cols>
  <sheetData>
    <row r="1" ht="18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Поле</t>
        </is>
      </c>
      <c r="D1" s="1" t="inlineStr">
        <is>
          <t>Значение</t>
        </is>
      </c>
    </row>
    <row r="2">
      <c r="A2" t="inlineStr">
        <is>
          <t>ФИО кандидата</t>
        </is>
      </c>
      <c r="B2" t="inlineStr"/>
      <c r="C2" t="inlineStr">
        <is>
          <t>Дата</t>
        </is>
      </c>
      <c r="D2" t="inlineStr"/>
    </row>
    <row r="3">
      <c r="A3" t="inlineStr">
        <is>
          <t>Позиция</t>
        </is>
      </c>
      <c r="B3" t="inlineStr">
        <is>
          <t>Senior / Lead / Middle</t>
        </is>
      </c>
      <c r="C3" t="inlineStr">
        <is>
          <t>Интервьюер</t>
        </is>
      </c>
      <c r="D3" t="inlineStr"/>
    </row>
    <row r="4">
      <c r="A4" t="inlineStr">
        <is>
          <t>Опыт (лет)</t>
        </is>
      </c>
      <c r="B4" t="inlineStr"/>
      <c r="C4" t="inlineStr">
        <is>
          <t>Проект/контекст</t>
        </is>
      </c>
      <c r="D4" t="inlineStr">
        <is>
          <t>F2F / общий QA</t>
        </is>
      </c>
    </row>
    <row r="5">
      <c r="A5" t="inlineStr">
        <is>
          <t>Кейс на интервью</t>
        </is>
      </c>
      <c r="B5" t="inlineStr">
        <is>
          <t>A — E-com / B — Mobile</t>
        </is>
      </c>
      <c r="C5" t="inlineStr">
        <is>
          <t>Граничные</t>
        </is>
      </c>
      <c r="D5" t="inlineStr">
        <is>
          <t>Да / Нет</t>
        </is>
      </c>
    </row>
    <row r="6">
      <c r="A6" t="inlineStr"/>
      <c r="B6" t="inlineStr"/>
      <c r="C6" t="inlineStr"/>
      <c r="D6" t="inlineStr"/>
    </row>
    <row r="7">
      <c r="A7" t="inlineStr">
        <is>
          <t>Итоговый балл (/100)</t>
        </is>
      </c>
      <c r="B7">
        <f>Сводка!C15</f>
        <v/>
      </c>
      <c r="C7" t="inlineStr">
        <is>
          <t>Решение</t>
        </is>
      </c>
      <c r="D7">
        <f>Сводка!C17</f>
        <v/>
      </c>
    </row>
    <row r="8">
      <c r="A8" t="inlineStr">
        <is>
          <t>Lead-пороги</t>
        </is>
      </c>
      <c r="B8">
        <f>Сводка!C21</f>
        <v/>
      </c>
      <c r="C8" t="inlineStr">
        <is>
          <t>Граничные /10</t>
        </is>
      </c>
      <c r="D8">
        <f>Сводка!C23</f>
        <v/>
      </c>
    </row>
    <row r="9">
      <c r="A9" t="inlineStr"/>
      <c r="B9" t="inlineStr"/>
    </row>
    <row r="10">
      <c r="A10" t="inlineStr">
        <is>
          <t>Сильные стороны</t>
        </is>
      </c>
      <c r="B10" t="inlineStr"/>
      <c r="C10" t="inlineStr"/>
      <c r="D10" t="inlineStr"/>
    </row>
    <row r="11">
      <c r="A11" t="inlineStr"/>
      <c r="B11" t="inlineStr"/>
    </row>
    <row r="12">
      <c r="A12" t="inlineStr">
        <is>
          <t>Зоны роста</t>
        </is>
      </c>
      <c r="B12" t="inlineStr"/>
      <c r="C12" t="inlineStr"/>
      <c r="D12" t="inlineStr"/>
    </row>
    <row r="13">
      <c r="A13" t="inlineStr"/>
      <c r="B13" t="inlineStr"/>
    </row>
    <row r="14">
      <c r="A14" t="inlineStr">
        <is>
          <t>Рекомендация</t>
        </is>
      </c>
      <c r="B14" t="inlineStr"/>
      <c r="C14" t="inlineStr"/>
      <c r="D14" t="inlineStr"/>
    </row>
    <row r="15"/>
  </sheetData>
  <mergeCells count="4">
    <mergeCell ref="B15:D15"/>
    <mergeCell ref="B9:D9"/>
    <mergeCell ref="B13:D13"/>
    <mergeCell ref="B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2026-05-19T11:05:42Z</dcterms:created>
  <dcterms:modified xsi:type="dcterms:W3CDTF">2026-05-19T11:05:42Z</dcterms:modified>
</cp:coreProperties>
</file>