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араметры" sheetId="1" state="visible" r:id="rId3"/>
    <sheet name="ТРЗ по шагам" sheetId="2" state="visible" r:id="rId4"/>
    <sheet name="FTE по ролям" sheetId="3" state="visible" r:id="rId5"/>
    <sheet name="Сценарии N" sheetId="4" state="visible" r:id="rId6"/>
    <sheet name="Методика" sheetId="5" state="visible" r:id="rId7"/>
  </sheets>
  <definedNames>
    <definedName function="false" hidden="false" name="D_YEAR" vbProcedure="false">Параметры!$B$9</definedName>
    <definedName function="false" hidden="false" name="HF_F" vbProcedure="false">Параметры!$B$5</definedName>
    <definedName function="false" hidden="false" name="HF_YEAR" vbProcedure="false">Параметры!$B$4</definedName>
    <definedName function="false" hidden="false" name="H_DAY" vbProcedure="false">Параметры!$B$8</definedName>
    <definedName function="false" hidden="false" name="H_FTE" vbProcedure="false">Параметры!$B$11</definedName>
    <definedName function="false" hidden="false" name="H_FULL" vbProcedure="false">Параметры!$B$12</definedName>
    <definedName function="false" hidden="false" name="LOAD" vbProcedure="false">Параметры!$B$10</definedName>
    <definedName function="false" hidden="false" name="N_SVC" vbProcedure="false">Параметры!$B$2</definedName>
    <definedName function="false" hidden="false" name="P_PSI" vbProcedure="false">Параметры!$B$6</definedName>
    <definedName function="false" hidden="false" name="P_PTZ" vbProcedure="false">Параметры!$B$7</definedName>
    <definedName function="false" hidden="false" name="REL_YEAR" vbProcedure="false">Параметры!$B$3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<sst xmlns="http://schemas.openxmlformats.org/spreadsheetml/2006/main" count="417" uniqueCount="163">
  <si>
    <t xml:space="preserve">Параметр</t>
  </si>
  <si>
    <t xml:space="preserve">Значение</t>
  </si>
  <si>
    <t xml:space="preserve">Комментарий</t>
  </si>
  <si>
    <t xml:space="preserve">Число сервисов в релизе (N)</t>
  </si>
  <si>
    <t xml:space="preserve">Число сервисов в релизе (список сервисов пока не задан — подставить)</t>
  </si>
  <si>
    <t xml:space="preserve">Плановых релизов в год</t>
  </si>
  <si>
    <t xml:space="preserve">Плановых релизов в год (Политика: до 3 в квартал)</t>
  </si>
  <si>
    <t xml:space="preserve">Hotfix в год</t>
  </si>
  <si>
    <t xml:space="preserve">Hotfix в год (допущение)</t>
  </si>
  <si>
    <t xml:space="preserve">Доля фиксированной части для hotfix</t>
  </si>
  <si>
    <t xml:space="preserve">Доля фиксированной части шага для hotfix (допущение); сервисная часть — на 1 сервис</t>
  </si>
  <si>
    <t xml:space="preserve">Доля релизов с ПСИ</t>
  </si>
  <si>
    <t xml:space="preserve">Доля релизов, где нужен ПСИ (допущение)</t>
  </si>
  <si>
    <t xml:space="preserve">Доля релизов с ПТЗ</t>
  </si>
  <si>
    <t xml:space="preserve">Доля релизов, где нужен ПТЗ (допущение)</t>
  </si>
  <si>
    <t xml:space="preserve">Рабочих часов в день</t>
  </si>
  <si>
    <t xml:space="preserve">Рабочих дней в году</t>
  </si>
  <si>
    <t xml:space="preserve">Рабочих дней в году (уточнить по производственному календарю)</t>
  </si>
  <si>
    <t xml:space="preserve">Плановая загрузка роли</t>
  </si>
  <si>
    <t xml:space="preserve">Плановая загрузка роли (Менеджмент команд: 80 %)</t>
  </si>
  <si>
    <t xml:space="preserve">Часов на 1 FTE в год с учётом загрузки</t>
  </si>
  <si>
    <t xml:space="preserve">Знаменатель FTE = рабочие часы года × плановая загрузка (80 % по «Менеджменту команд»)</t>
  </si>
  <si>
    <t xml:space="preserve">Часов в году на 1 FTE (полная занятость)</t>
  </si>
  <si>
    <t xml:space="preserve">Используется для стоимости текущего списания «1 FTE на проект»</t>
  </si>
  <si>
    <t xml:space="preserve">Жёлтые ячейки — входные данные. Часы по шагам — стартовые экспертные допущения: заменить фактом списаний по задачам шагов в Jira.</t>
  </si>
  <si>
    <t xml:space="preserve">ID шага</t>
  </si>
  <si>
    <t xml:space="preserve">Шаг</t>
  </si>
  <si>
    <t xml:space="preserve">Роль (код)</t>
  </si>
  <si>
    <t xml:space="preserve">Роль</t>
  </si>
  <si>
    <t xml:space="preserve">F: часов на релиз (фикс.)</t>
  </si>
  <si>
    <t xml:space="preserve">S: часов на 1 сервис</t>
  </si>
  <si>
    <t xml:space="preserve">Условие (1 / psi / ptz)</t>
  </si>
  <si>
    <t xml:space="preserve">k (вероятность)</t>
  </si>
  <si>
    <t xml:space="preserve">Часов на релиз</t>
  </si>
  <si>
    <t xml:space="preserve">Часов на hotfix</t>
  </si>
  <si>
    <t xml:space="preserve">Часов в год</t>
  </si>
  <si>
    <t xml:space="preserve">0.1</t>
  </si>
  <si>
    <t xml:space="preserve">Сбор релизного тикета: состав Fix Version</t>
  </si>
  <si>
    <t xml:space="preserve">RO</t>
  </si>
  <si>
    <t xml:space="preserve">Release owner / РП</t>
  </si>
  <si>
    <t xml:space="preserve">1</t>
  </si>
  <si>
    <t xml:space="preserve">0.2</t>
  </si>
  <si>
    <t xml:space="preserve">Релизная ветка сервиса (начало спринта, от master)</t>
  </si>
  <si>
    <t xml:space="preserve">РИ</t>
  </si>
  <si>
    <t xml:space="preserve">Релиз-инженер НЕДРА</t>
  </si>
  <si>
    <t xml:space="preserve">DEV</t>
  </si>
  <si>
    <t xml:space="preserve">Мейнтейнеры сервисов (релизные работы)</t>
  </si>
  <si>
    <t xml:space="preserve">0.3</t>
  </si>
  <si>
    <t xml:space="preserve">ПСИ / ПТЗ нужны?</t>
  </si>
  <si>
    <t xml:space="preserve">1.1</t>
  </si>
  <si>
    <t xml:space="preserve">Слияние PR по задачам Fix Version</t>
  </si>
  <si>
    <t xml:space="preserve">1.2</t>
  </si>
  <si>
    <t xml:space="preserve">Scope freeze</t>
  </si>
  <si>
    <t xml:space="preserve">1.3</t>
  </si>
  <si>
    <t xml:space="preserve">Фича-фриз: финализация ветки, rc на UAT</t>
  </si>
  <si>
    <t xml:space="preserve">2.1</t>
  </si>
  <si>
    <t xml:space="preserve">Устранение уязвимостей: SAST, SCA, Luntry, секреты</t>
  </si>
  <si>
    <t xml:space="preserve">2.2</t>
  </si>
  <si>
    <t xml:space="preserve">Gate ИБ: уязвимости</t>
  </si>
  <si>
    <t xml:space="preserve">ИБ</t>
  </si>
  <si>
    <t xml:space="preserve">ИБ ГПН (AppSec, Compliance)</t>
  </si>
  <si>
    <t xml:space="preserve">3.1</t>
  </si>
  <si>
    <t xml:space="preserve">ПМТ</t>
  </si>
  <si>
    <t xml:space="preserve">psi</t>
  </si>
  <si>
    <t xml:space="preserve">3.2</t>
  </si>
  <si>
    <t xml:space="preserve">Согласование ПМТ</t>
  </si>
  <si>
    <t xml:space="preserve">3.3</t>
  </si>
  <si>
    <t xml:space="preserve">Проведение ПСИ</t>
  </si>
  <si>
    <t xml:space="preserve">QA</t>
  </si>
  <si>
    <t xml:space="preserve">QA / регресс UAT</t>
  </si>
  <si>
    <t xml:space="preserve">ВНП</t>
  </si>
  <si>
    <t xml:space="preserve">Владелец направления (ВНП)</t>
  </si>
  <si>
    <t xml:space="preserve">4.1</t>
  </si>
  <si>
    <t xml:space="preserve">Регресс UAT</t>
  </si>
  <si>
    <t xml:space="preserve">4.2</t>
  </si>
  <si>
    <t xml:space="preserve">Отчёт по регрессу UAT</t>
  </si>
  <si>
    <t xml:space="preserve">4.3</t>
  </si>
  <si>
    <t xml:space="preserve">Исправление ошибок UAT, фиксы в ветку</t>
  </si>
  <si>
    <t xml:space="preserve">4.4</t>
  </si>
  <si>
    <t xml:space="preserve">Повторная проверка / smoke UAT</t>
  </si>
  <si>
    <t xml:space="preserve">4.5</t>
  </si>
  <si>
    <t xml:space="preserve">Импорт тест-плана в ТестОпс ГПН-ЦР</t>
  </si>
  <si>
    <t xml:space="preserve">G1</t>
  </si>
  <si>
    <t xml:space="preserve">Код-фриз (AND-join)</t>
  </si>
  <si>
    <t xml:space="preserve">7.1</t>
  </si>
  <si>
    <t xml:space="preserve">Подготовка и ревью TOML</t>
  </si>
  <si>
    <t xml:space="preserve">ARCH</t>
  </si>
  <si>
    <t xml:space="preserve">Архитектор (ревью TOML)</t>
  </si>
  <si>
    <t xml:space="preserve">5.1</t>
  </si>
  <si>
    <t xml:space="preserve">Запуск аудита через Релиз-борд</t>
  </si>
  <si>
    <t xml:space="preserve">5.2</t>
  </si>
  <si>
    <t xml:space="preserve">Аудит кода (портал ББ)</t>
  </si>
  <si>
    <t xml:space="preserve">6.1</t>
  </si>
  <si>
    <t xml:space="preserve">Согласование ПТЗ (при необходимости)</t>
  </si>
  <si>
    <t xml:space="preserve">ptz</t>
  </si>
  <si>
    <t xml:space="preserve">7.2</t>
  </si>
  <si>
    <t xml:space="preserve">Релиз-борд: загрузка и запуск трансфера</t>
  </si>
  <si>
    <t xml:space="preserve">DEVOPS</t>
  </si>
  <si>
    <t xml:space="preserve">DevOps / инфра</t>
  </si>
  <si>
    <t xml:space="preserve">8.1</t>
  </si>
  <si>
    <t xml:space="preserve">Согласование трансфера в ПРОД-сегмент</t>
  </si>
  <si>
    <t xml:space="preserve">9.1</t>
  </si>
  <si>
    <t xml:space="preserve">Развёртывание на PreProd</t>
  </si>
  <si>
    <t xml:space="preserve">9.2</t>
  </si>
  <si>
    <t xml:space="preserve">БД PreProd: миграции</t>
  </si>
  <si>
    <t xml:space="preserve">АБД</t>
  </si>
  <si>
    <t xml:space="preserve">Администратор БД</t>
  </si>
  <si>
    <t xml:space="preserve">9.3</t>
  </si>
  <si>
    <t xml:space="preserve">Брокеры PreProd: топики и настройки</t>
  </si>
  <si>
    <t xml:space="preserve">АБР</t>
  </si>
  <si>
    <t xml:space="preserve">Администратор брокеров</t>
  </si>
  <si>
    <t xml:space="preserve">10.1</t>
  </si>
  <si>
    <t xml:space="preserve">Регресс PreProd</t>
  </si>
  <si>
    <t xml:space="preserve">SVC</t>
  </si>
  <si>
    <t xml:space="preserve">Сервис ГПН-ЦР</t>
  </si>
  <si>
    <t xml:space="preserve">10.2</t>
  </si>
  <si>
    <t xml:space="preserve">Отчёт PreProd</t>
  </si>
  <si>
    <t xml:space="preserve">G2</t>
  </si>
  <si>
    <t xml:space="preserve">Go / No-Go в Прод</t>
  </si>
  <si>
    <t xml:space="preserve">11.1</t>
  </si>
  <si>
    <t xml:space="preserve">Уведомление пользователей</t>
  </si>
  <si>
    <t xml:space="preserve">PMM</t>
  </si>
  <si>
    <t xml:space="preserve">PMM / коммуникации</t>
  </si>
  <si>
    <t xml:space="preserve">12.1</t>
  </si>
  <si>
    <t xml:space="preserve">Развёртывание на ПРОД</t>
  </si>
  <si>
    <t xml:space="preserve">REL</t>
  </si>
  <si>
    <t xml:space="preserve">Релиз-инженер (сервис)</t>
  </si>
  <si>
    <t xml:space="preserve">12.2</t>
  </si>
  <si>
    <t xml:space="preserve">БД после выкатки</t>
  </si>
  <si>
    <t xml:space="preserve">12.3</t>
  </si>
  <si>
    <t xml:space="preserve">Брокеры после выкатки</t>
  </si>
  <si>
    <t xml:space="preserve">12.4</t>
  </si>
  <si>
    <t xml:space="preserve">Post-release check / smoke</t>
  </si>
  <si>
    <t xml:space="preserve">12.5</t>
  </si>
  <si>
    <t xml:space="preserve">Тег, merge в master, перенос в ветки</t>
  </si>
  <si>
    <t xml:space="preserve">12.6</t>
  </si>
  <si>
    <t xml:space="preserve">Закрытие релиза и ретро</t>
  </si>
  <si>
    <t xml:space="preserve">Итого</t>
  </si>
  <si>
    <t xml:space="preserve">FTE по ТРЗ</t>
  </si>
  <si>
    <t xml:space="preserve">Сейчас на проекте, FTE</t>
  </si>
  <si>
    <t xml:space="preserve">Разница (сейчас − по ТРЗ)</t>
  </si>
  <si>
    <t xml:space="preserve">Ставка, ₽/ч</t>
  </si>
  <si>
    <t xml:space="preserve">Стоимость ТРЗ в год, ₽</t>
  </si>
  <si>
    <t xml:space="preserve">Стоимость текущего списания в год, ₽</t>
  </si>
  <si>
    <t xml:space="preserve">Разница, ₽ в год</t>
  </si>
  <si>
    <t xml:space="preserve">Ставка (₽/ч) — вводится по каждой роли; без неё стоимость не считается. Разница &gt; 0 означает, что на проект списывается больше, чем нужно по ТРЗ.</t>
  </si>
  <si>
    <t xml:space="preserve">N = 5</t>
  </si>
  <si>
    <t xml:space="preserve">N = 10</t>
  </si>
  <si>
    <t xml:space="preserve">N = 15</t>
  </si>
  <si>
    <t xml:space="preserve">N = 20</t>
  </si>
  <si>
    <t xml:space="preserve">N = 25</t>
  </si>
  <si>
    <t xml:space="preserve">Число сервисов →</t>
  </si>
  <si>
    <t xml:space="preserve">Итого FTE по ТРЗ</t>
  </si>
  <si>
    <t xml:space="preserve">Сейчас (1 FTE × число ролей)</t>
  </si>
  <si>
    <t xml:space="preserve">Методика расчёта ТРЗ и FTE по ролям релизного цикла</t>
  </si>
  <si>
    <t xml:space="preserve">1. Единица учёта — шаг релизного цикла (см. реестр шагов процесса). Каждый шаг — задача Jira с оценкой и списанием времени; сумма ТРЗ задач шагов по роли = ТРЗ роли в релизе.</t>
  </si>
  <si>
    <t xml:space="preserve">2. Часы на шаг: H = (F + S × N) × k, где F — фиксированная часть на релиз, S — часть на каждый сервис, N — число сервисов, k — вероятность шага (ПСИ, ПТЗ — не в каждом релизе).</t>
  </si>
  <si>
    <t xml:space="preserve">3. Hotfix идёт тем же процессом: H_hotfix = (F × доля_фикс + S × 1) × k; в год — HF_YEAR штук.</t>
  </si>
  <si>
    <t xml:space="preserve">4. FTE роли = ТРЗ роли за год / (рабочие часы года × плановая загрузка). Плановая загрузка 80 % — норма из «Менеджмента команд».</t>
  </si>
  <si>
    <t xml:space="preserve">5. Сейчас каждая роль списывается на проект на 1 FTE. Разница «сейчас − по ТРЗ» показывает, сколько ёмкости роли можно вернуть в продукт (или, если &lt; 0, где ТРЗ не покрыто списанием).</t>
  </si>
  <si>
    <t xml:space="preserve">6. Экономика: стоимость ТРЗ = часы × ставка роли; стоимость текущего списания = 1 FTE × часы года × ставка. Ставки вводятся пользователем.</t>
  </si>
  <si>
    <t xml:space="preserve">7. Часы F и S — стартовые экспертные допущения. После 1–2 релизов заменить фактом: ТРЗ шага = Σ списаний по задачам шага (Jira), F и S получить регрессией по числу сервисов.</t>
  </si>
  <si>
    <t xml:space="preserve">8. Источник факта: задачи шагов Релизного Epic (оценка и списание времени). До внедрения списания (этап 3 дорожной карты менеджмента) — оценка задач шагов.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</si>
</sst>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"/>
    <numFmt numFmtId="168" formatCode="0"/>
    <numFmt numFmtId="169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10</v>
      </c>
      <c r="C2" s="2" t="s">
        <v>4</v>
      </c>
    </row>
    <row r="3" customFormat="false" ht="15" hidden="false" customHeight="false" outlineLevel="0" collapsed="false">
      <c r="A3" s="2" t="s">
        <v>5</v>
      </c>
      <c r="B3" s="3" t="n">
        <v>12</v>
      </c>
      <c r="C3" s="2" t="s">
        <v>6</v>
      </c>
    </row>
    <row r="4" customFormat="false" ht="15" hidden="false" customHeight="false" outlineLevel="0" collapsed="false">
      <c r="A4" s="2" t="s">
        <v>7</v>
      </c>
      <c r="B4" s="3" t="n">
        <v>4</v>
      </c>
      <c r="C4" s="2" t="s">
        <v>8</v>
      </c>
    </row>
    <row r="5" customFormat="false" ht="15" hidden="false" customHeight="false" outlineLevel="0" collapsed="false">
      <c r="A5" s="2" t="s">
        <v>9</v>
      </c>
      <c r="B5" s="3" t="n">
        <v>0.5</v>
      </c>
      <c r="C5" s="2" t="s">
        <v>10</v>
      </c>
    </row>
    <row r="6" customFormat="false" ht="15" hidden="false" customHeight="false" outlineLevel="0" collapsed="false">
      <c r="A6" s="2" t="s">
        <v>11</v>
      </c>
      <c r="B6" s="3" t="n">
        <v>0.5</v>
      </c>
      <c r="C6" s="2" t="s">
        <v>12</v>
      </c>
    </row>
    <row r="7" customFormat="false" ht="15" hidden="false" customHeight="false" outlineLevel="0" collapsed="false">
      <c r="A7" s="2" t="s">
        <v>13</v>
      </c>
      <c r="B7" s="3" t="n">
        <v>0.5</v>
      </c>
      <c r="C7" s="2" t="s">
        <v>14</v>
      </c>
    </row>
    <row r="8" customFormat="false" ht="15" hidden="false" customHeight="false" outlineLevel="0" collapsed="false">
      <c r="A8" s="2" t="s">
        <v>15</v>
      </c>
      <c r="B8" s="3" t="n">
        <v>8</v>
      </c>
      <c r="C8" s="2" t="s">
        <v>15</v>
      </c>
    </row>
    <row r="9" customFormat="false" ht="15" hidden="false" customHeight="false" outlineLevel="0" collapsed="false">
      <c r="A9" s="2" t="s">
        <v>16</v>
      </c>
      <c r="B9" s="3" t="n">
        <v>247</v>
      </c>
      <c r="C9" s="2" t="s">
        <v>17</v>
      </c>
    </row>
    <row r="10" customFormat="false" ht="15" hidden="false" customHeight="false" outlineLevel="0" collapsed="false">
      <c r="A10" s="2" t="s">
        <v>18</v>
      </c>
      <c r="B10" s="3" t="n">
        <v>0.8</v>
      </c>
      <c r="C10" s="2" t="s">
        <v>19</v>
      </c>
    </row>
    <row r="11" customFormat="false" ht="15" hidden="false" customHeight="false" outlineLevel="0" collapsed="false">
      <c r="A11" s="2" t="s">
        <v>20</v>
      </c>
      <c r="B11" s="4" t="n">
        <f aca="false">H_DAY*D_YEAR*LOAD</f>
        <v>1580.8</v>
      </c>
      <c r="C11" s="2" t="s">
        <v>21</v>
      </c>
    </row>
    <row r="12" customFormat="false" ht="15" hidden="false" customHeight="false" outlineLevel="0" collapsed="false">
      <c r="A12" s="2" t="s">
        <v>22</v>
      </c>
      <c r="B12" s="4" t="n">
        <f aca="false">H_DAY*D_YEAR</f>
        <v>1976</v>
      </c>
      <c r="C12" s="2" t="s">
        <v>23</v>
      </c>
    </row>
    <row r="14" customFormat="false" ht="15" hidden="false" customHeight="false" outlineLevel="0" collapsed="false">
      <c r="A14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1" min="9" style="0" width="12"/>
  </cols>
  <sheetData>
    <row r="1" customFormat="false" ht="33.75" hidden="false" customHeight="tru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38</v>
      </c>
      <c r="D2" s="2" t="s">
        <v>39</v>
      </c>
      <c r="E2" s="3" t="n">
        <v>6</v>
      </c>
      <c r="F2" s="3" t="n">
        <v>0.25</v>
      </c>
      <c r="G2" s="3" t="s">
        <v>40</v>
      </c>
      <c r="H2" s="6" t="n">
        <f aca="false">IF(G2="psi",P_PSI,IF(G2="ptz",P_PTZ,1))</f>
        <v>1</v>
      </c>
      <c r="I2" s="7" t="n">
        <f aca="false">(E2+F2*N_SVC)*H2</f>
        <v>8.5</v>
      </c>
      <c r="J2" s="7" t="n">
        <f aca="false">(E2*HF_F+F2)*H2</f>
        <v>3.25</v>
      </c>
      <c r="K2" s="7" t="n">
        <f aca="false">I2*REL_YEAR+J2*HF_YEAR</f>
        <v>115</v>
      </c>
    </row>
    <row r="3" customFormat="false" ht="28.35" hidden="false" customHeight="false" outlineLevel="0" collapsed="false">
      <c r="A3" s="2" t="s">
        <v>41</v>
      </c>
      <c r="B3" s="2" t="s">
        <v>42</v>
      </c>
      <c r="C3" s="2" t="s">
        <v>43</v>
      </c>
      <c r="D3" s="2" t="s">
        <v>44</v>
      </c>
      <c r="E3" s="3" t="n">
        <v>1</v>
      </c>
      <c r="F3" s="3" t="n">
        <v>0.5</v>
      </c>
      <c r="G3" s="3" t="s">
        <v>40</v>
      </c>
      <c r="H3" s="6" t="n">
        <f aca="false">IF(G3="psi",P_PSI,IF(G3="ptz",P_PTZ,1))</f>
        <v>1</v>
      </c>
      <c r="I3" s="7" t="n">
        <f aca="false">(E3+F3*N_SVC)*H3</f>
        <v>6</v>
      </c>
      <c r="J3" s="7" t="n">
        <f aca="false">(E3*HF_F+F3)*H3</f>
        <v>1</v>
      </c>
      <c r="K3" s="7" t="n">
        <f aca="false">I3*REL_YEAR+J3*HF_YEAR</f>
        <v>76</v>
      </c>
    </row>
    <row r="4" customFormat="false" ht="28.35" hidden="false" customHeight="false" outlineLevel="0" collapsed="false">
      <c r="A4" s="2" t="s">
        <v>41</v>
      </c>
      <c r="B4" s="2" t="s">
        <v>42</v>
      </c>
      <c r="C4" s="2" t="s">
        <v>45</v>
      </c>
      <c r="D4" s="2" t="s">
        <v>46</v>
      </c>
      <c r="E4" s="3" t="n">
        <v>0</v>
      </c>
      <c r="F4" s="3" t="n">
        <v>0.5</v>
      </c>
      <c r="G4" s="3" t="s">
        <v>40</v>
      </c>
      <c r="H4" s="6" t="n">
        <f aca="false">IF(G4="psi",P_PSI,IF(G4="ptz",P_PTZ,1))</f>
        <v>1</v>
      </c>
      <c r="I4" s="7" t="n">
        <f aca="false">(E4+F4*N_SVC)*H4</f>
        <v>5</v>
      </c>
      <c r="J4" s="7" t="n">
        <f aca="false">(E4*HF_F+F4)*H4</f>
        <v>0.5</v>
      </c>
      <c r="K4" s="7" t="n">
        <f aca="false">I4*REL_YEAR+J4*HF_YEAR</f>
        <v>62</v>
      </c>
    </row>
    <row r="5" customFormat="false" ht="15" hidden="false" customHeight="false" outlineLevel="0" collapsed="false">
      <c r="A5" s="2" t="s">
        <v>47</v>
      </c>
      <c r="B5" s="2" t="s">
        <v>48</v>
      </c>
      <c r="C5" s="2" t="s">
        <v>38</v>
      </c>
      <c r="D5" s="2" t="s">
        <v>39</v>
      </c>
      <c r="E5" s="3" t="n">
        <v>1</v>
      </c>
      <c r="F5" s="3" t="n">
        <v>0</v>
      </c>
      <c r="G5" s="3" t="s">
        <v>40</v>
      </c>
      <c r="H5" s="6" t="n">
        <f aca="false">IF(G5="psi",P_PSI,IF(G5="ptz",P_PTZ,1))</f>
        <v>1</v>
      </c>
      <c r="I5" s="7" t="n">
        <f aca="false">(E5+F5*N_SVC)*H5</f>
        <v>1</v>
      </c>
      <c r="J5" s="7" t="n">
        <f aca="false">(E5*HF_F+F5)*H5</f>
        <v>0.5</v>
      </c>
      <c r="K5" s="7" t="n">
        <f aca="false">I5*REL_YEAR+J5*HF_YEAR</f>
        <v>14</v>
      </c>
    </row>
    <row r="6" customFormat="false" ht="15" hidden="false" customHeight="false" outlineLevel="0" collapsed="false">
      <c r="A6" s="2" t="s">
        <v>47</v>
      </c>
      <c r="B6" s="2" t="s">
        <v>48</v>
      </c>
      <c r="C6" s="2" t="s">
        <v>43</v>
      </c>
      <c r="D6" s="2" t="s">
        <v>44</v>
      </c>
      <c r="E6" s="3" t="n">
        <v>0.5</v>
      </c>
      <c r="F6" s="3" t="n">
        <v>0</v>
      </c>
      <c r="G6" s="3" t="s">
        <v>40</v>
      </c>
      <c r="H6" s="6" t="n">
        <f aca="false">IF(G6="psi",P_PSI,IF(G6="ptz",P_PTZ,1))</f>
        <v>1</v>
      </c>
      <c r="I6" s="7" t="n">
        <f aca="false">(E6+F6*N_SVC)*H6</f>
        <v>0.5</v>
      </c>
      <c r="J6" s="7" t="n">
        <f aca="false">(E6*HF_F+F6)*H6</f>
        <v>0.25</v>
      </c>
      <c r="K6" s="7" t="n">
        <f aca="false">I6*REL_YEAR+J6*HF_YEAR</f>
        <v>7</v>
      </c>
    </row>
    <row r="7" customFormat="false" ht="15" hidden="false" customHeight="false" outlineLevel="0" collapsed="false">
      <c r="A7" s="2" t="s">
        <v>49</v>
      </c>
      <c r="B7" s="2" t="s">
        <v>50</v>
      </c>
      <c r="C7" s="2" t="s">
        <v>43</v>
      </c>
      <c r="D7" s="2" t="s">
        <v>44</v>
      </c>
      <c r="E7" s="3" t="n">
        <v>4</v>
      </c>
      <c r="F7" s="3" t="n">
        <v>0.5</v>
      </c>
      <c r="G7" s="3" t="s">
        <v>40</v>
      </c>
      <c r="H7" s="6" t="n">
        <f aca="false">IF(G7="psi",P_PSI,IF(G7="ptz",P_PTZ,1))</f>
        <v>1</v>
      </c>
      <c r="I7" s="7" t="n">
        <f aca="false">(E7+F7*N_SVC)*H7</f>
        <v>9</v>
      </c>
      <c r="J7" s="7" t="n">
        <f aca="false">(E7*HF_F+F7)*H7</f>
        <v>2.5</v>
      </c>
      <c r="K7" s="7" t="n">
        <f aca="false">I7*REL_YEAR+J7*HF_YEAR</f>
        <v>118</v>
      </c>
    </row>
    <row r="8" customFormat="false" ht="28.35" hidden="false" customHeight="false" outlineLevel="0" collapsed="false">
      <c r="A8" s="2" t="s">
        <v>49</v>
      </c>
      <c r="B8" s="2" t="s">
        <v>50</v>
      </c>
      <c r="C8" s="2" t="s">
        <v>45</v>
      </c>
      <c r="D8" s="2" t="s">
        <v>46</v>
      </c>
      <c r="E8" s="3" t="n">
        <v>0</v>
      </c>
      <c r="F8" s="3" t="n">
        <v>4</v>
      </c>
      <c r="G8" s="3" t="s">
        <v>40</v>
      </c>
      <c r="H8" s="6" t="n">
        <f aca="false">IF(G8="psi",P_PSI,IF(G8="ptz",P_PTZ,1))</f>
        <v>1</v>
      </c>
      <c r="I8" s="7" t="n">
        <f aca="false">(E8+F8*N_SVC)*H8</f>
        <v>40</v>
      </c>
      <c r="J8" s="7" t="n">
        <f aca="false">(E8*HF_F+F8)*H8</f>
        <v>4</v>
      </c>
      <c r="K8" s="7" t="n">
        <f aca="false">I8*REL_YEAR+J8*HF_YEAR</f>
        <v>496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38</v>
      </c>
      <c r="D9" s="2" t="s">
        <v>39</v>
      </c>
      <c r="E9" s="3" t="n">
        <v>2</v>
      </c>
      <c r="F9" s="3" t="n">
        <v>0.1</v>
      </c>
      <c r="G9" s="3" t="s">
        <v>40</v>
      </c>
      <c r="H9" s="6" t="n">
        <f aca="false">IF(G9="psi",P_PSI,IF(G9="ptz",P_PTZ,1))</f>
        <v>1</v>
      </c>
      <c r="I9" s="7" t="n">
        <f aca="false">(E9+F9*N_SVC)*H9</f>
        <v>3</v>
      </c>
      <c r="J9" s="7" t="n">
        <f aca="false">(E9*HF_F+F9)*H9</f>
        <v>1.1</v>
      </c>
      <c r="K9" s="7" t="n">
        <f aca="false">I9*REL_YEAR+J9*HF_YEAR</f>
        <v>40.4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43</v>
      </c>
      <c r="D10" s="2" t="s">
        <v>44</v>
      </c>
      <c r="E10" s="3" t="n">
        <v>4</v>
      </c>
      <c r="F10" s="3" t="n">
        <v>0.5</v>
      </c>
      <c r="G10" s="3" t="s">
        <v>40</v>
      </c>
      <c r="H10" s="6" t="n">
        <f aca="false">IF(G10="psi",P_PSI,IF(G10="ptz",P_PTZ,1))</f>
        <v>1</v>
      </c>
      <c r="I10" s="7" t="n">
        <f aca="false">(E10+F10*N_SVC)*H10</f>
        <v>9</v>
      </c>
      <c r="J10" s="7" t="n">
        <f aca="false">(E10*HF_F+F10)*H10</f>
        <v>2.5</v>
      </c>
      <c r="K10" s="7" t="n">
        <f aca="false">I10*REL_YEAR+J10*HF_YEAR</f>
        <v>118</v>
      </c>
    </row>
    <row r="11" customFormat="false" ht="28.35" hidden="false" customHeight="false" outlineLevel="0" collapsed="false">
      <c r="A11" s="2" t="s">
        <v>53</v>
      </c>
      <c r="B11" s="2" t="s">
        <v>54</v>
      </c>
      <c r="C11" s="2" t="s">
        <v>45</v>
      </c>
      <c r="D11" s="2" t="s">
        <v>46</v>
      </c>
      <c r="E11" s="3" t="n">
        <v>0</v>
      </c>
      <c r="F11" s="3" t="n">
        <v>2</v>
      </c>
      <c r="G11" s="3" t="s">
        <v>40</v>
      </c>
      <c r="H11" s="6" t="n">
        <f aca="false">IF(G11="psi",P_PSI,IF(G11="ptz",P_PTZ,1))</f>
        <v>1</v>
      </c>
      <c r="I11" s="7" t="n">
        <f aca="false">(E11+F11*N_SVC)*H11</f>
        <v>20</v>
      </c>
      <c r="J11" s="7" t="n">
        <f aca="false">(E11*HF_F+F11)*H11</f>
        <v>2</v>
      </c>
      <c r="K11" s="7" t="n">
        <f aca="false">I11*REL_YEAR+J11*HF_YEAR</f>
        <v>248</v>
      </c>
    </row>
    <row r="12" customFormat="false" ht="28.35" hidden="false" customHeight="false" outlineLevel="0" collapsed="false">
      <c r="A12" s="2" t="s">
        <v>55</v>
      </c>
      <c r="B12" s="2" t="s">
        <v>56</v>
      </c>
      <c r="C12" s="2" t="s">
        <v>43</v>
      </c>
      <c r="D12" s="2" t="s">
        <v>44</v>
      </c>
      <c r="E12" s="3" t="n">
        <v>4</v>
      </c>
      <c r="F12" s="3" t="n">
        <v>0.5</v>
      </c>
      <c r="G12" s="3" t="s">
        <v>40</v>
      </c>
      <c r="H12" s="6" t="n">
        <f aca="false">IF(G12="psi",P_PSI,IF(G12="ptz",P_PTZ,1))</f>
        <v>1</v>
      </c>
      <c r="I12" s="7" t="n">
        <f aca="false">(E12+F12*N_SVC)*H12</f>
        <v>9</v>
      </c>
      <c r="J12" s="7" t="n">
        <f aca="false">(E12*HF_F+F12)*H12</f>
        <v>2.5</v>
      </c>
      <c r="K12" s="7" t="n">
        <f aca="false">I12*REL_YEAR+J12*HF_YEAR</f>
        <v>118</v>
      </c>
    </row>
    <row r="13" customFormat="false" ht="28.35" hidden="false" customHeight="false" outlineLevel="0" collapsed="false">
      <c r="A13" s="2" t="s">
        <v>55</v>
      </c>
      <c r="B13" s="2" t="s">
        <v>56</v>
      </c>
      <c r="C13" s="2" t="s">
        <v>45</v>
      </c>
      <c r="D13" s="2" t="s">
        <v>46</v>
      </c>
      <c r="E13" s="3" t="n">
        <v>0</v>
      </c>
      <c r="F13" s="3" t="n">
        <v>6</v>
      </c>
      <c r="G13" s="3" t="s">
        <v>40</v>
      </c>
      <c r="H13" s="6" t="n">
        <f aca="false">IF(G13="psi",P_PSI,IF(G13="ptz",P_PTZ,1))</f>
        <v>1</v>
      </c>
      <c r="I13" s="7" t="n">
        <f aca="false">(E13+F13*N_SVC)*H13</f>
        <v>60</v>
      </c>
      <c r="J13" s="7" t="n">
        <f aca="false">(E13*HF_F+F13)*H13</f>
        <v>6</v>
      </c>
      <c r="K13" s="7" t="n">
        <f aca="false">I13*REL_YEAR+J13*HF_YEAR</f>
        <v>744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s">
        <v>60</v>
      </c>
      <c r="E14" s="3" t="n">
        <v>4</v>
      </c>
      <c r="F14" s="3" t="n">
        <v>0.5</v>
      </c>
      <c r="G14" s="3" t="s">
        <v>40</v>
      </c>
      <c r="H14" s="6" t="n">
        <f aca="false">IF(G14="psi",P_PSI,IF(G14="ptz",P_PTZ,1))</f>
        <v>1</v>
      </c>
      <c r="I14" s="7" t="n">
        <f aca="false">(E14+F14*N_SVC)*H14</f>
        <v>9</v>
      </c>
      <c r="J14" s="7" t="n">
        <f aca="false">(E14*HF_F+F14)*H14</f>
        <v>2.5</v>
      </c>
      <c r="K14" s="7" t="n">
        <f aca="false">I14*REL_YEAR+J14*HF_YEAR</f>
        <v>118</v>
      </c>
    </row>
    <row r="15" customFormat="false" ht="28.35" hidden="false" customHeight="false" outlineLevel="0" collapsed="false">
      <c r="A15" s="2" t="s">
        <v>61</v>
      </c>
      <c r="B15" s="2" t="s">
        <v>62</v>
      </c>
      <c r="C15" s="2" t="s">
        <v>45</v>
      </c>
      <c r="D15" s="2" t="s">
        <v>46</v>
      </c>
      <c r="E15" s="3" t="n">
        <v>8</v>
      </c>
      <c r="F15" s="3" t="n">
        <v>0</v>
      </c>
      <c r="G15" s="3" t="s">
        <v>63</v>
      </c>
      <c r="H15" s="6" t="n">
        <f aca="false">IF(G15="psi",P_PSI,IF(G15="ptz",P_PTZ,1))</f>
        <v>0.5</v>
      </c>
      <c r="I15" s="7" t="n">
        <f aca="false">(E15+F15*N_SVC)*H15</f>
        <v>4</v>
      </c>
      <c r="J15" s="7" t="n">
        <f aca="false">(E15*HF_F+F15)*H15</f>
        <v>2</v>
      </c>
      <c r="K15" s="7" t="n">
        <f aca="false">I15*REL_YEAR+J15*HF_YEAR</f>
        <v>56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43</v>
      </c>
      <c r="D16" s="2" t="s">
        <v>44</v>
      </c>
      <c r="E16" s="3" t="n">
        <v>2</v>
      </c>
      <c r="F16" s="3" t="n">
        <v>0</v>
      </c>
      <c r="G16" s="3" t="s">
        <v>63</v>
      </c>
      <c r="H16" s="6" t="n">
        <f aca="false">IF(G16="psi",P_PSI,IF(G16="ptz",P_PTZ,1))</f>
        <v>0.5</v>
      </c>
      <c r="I16" s="7" t="n">
        <f aca="false">(E16+F16*N_SVC)*H16</f>
        <v>1</v>
      </c>
      <c r="J16" s="7" t="n">
        <f aca="false">(E16*HF_F+F16)*H16</f>
        <v>0.5</v>
      </c>
      <c r="K16" s="7" t="n">
        <f aca="false">I16*REL_YEAR+J16*HF_YEAR</f>
        <v>14</v>
      </c>
    </row>
    <row r="17" customFormat="false" ht="15" hidden="false" customHeight="false" outlineLevel="0" collapsed="false">
      <c r="A17" s="2" t="s">
        <v>64</v>
      </c>
      <c r="B17" s="2" t="s">
        <v>65</v>
      </c>
      <c r="C17" s="2" t="s">
        <v>59</v>
      </c>
      <c r="D17" s="2" t="s">
        <v>60</v>
      </c>
      <c r="E17" s="3" t="n">
        <v>3</v>
      </c>
      <c r="F17" s="3" t="n">
        <v>0</v>
      </c>
      <c r="G17" s="3" t="s">
        <v>63</v>
      </c>
      <c r="H17" s="6" t="n">
        <f aca="false">IF(G17="psi",P_PSI,IF(G17="ptz",P_PTZ,1))</f>
        <v>0.5</v>
      </c>
      <c r="I17" s="7" t="n">
        <f aca="false">(E17+F17*N_SVC)*H17</f>
        <v>1.5</v>
      </c>
      <c r="J17" s="7" t="n">
        <f aca="false">(E17*HF_F+F17)*H17</f>
        <v>0.75</v>
      </c>
      <c r="K17" s="7" t="n">
        <f aca="false">I17*REL_YEAR+J17*HF_YEAR</f>
        <v>21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2" t="s">
        <v>68</v>
      </c>
      <c r="D18" s="2" t="s">
        <v>69</v>
      </c>
      <c r="E18" s="3" t="n">
        <v>12</v>
      </c>
      <c r="F18" s="3" t="n">
        <v>0</v>
      </c>
      <c r="G18" s="3" t="s">
        <v>63</v>
      </c>
      <c r="H18" s="6" t="n">
        <f aca="false">IF(G18="psi",P_PSI,IF(G18="ptz",P_PTZ,1))</f>
        <v>0.5</v>
      </c>
      <c r="I18" s="7" t="n">
        <f aca="false">(E18+F18*N_SVC)*H18</f>
        <v>6</v>
      </c>
      <c r="J18" s="7" t="n">
        <f aca="false">(E18*HF_F+F18)*H18</f>
        <v>3</v>
      </c>
      <c r="K18" s="7" t="n">
        <f aca="false">I18*REL_YEAR+J18*HF_YEAR</f>
        <v>84</v>
      </c>
    </row>
    <row r="19" customFormat="false" ht="15" hidden="false" customHeight="false" outlineLevel="0" collapsed="false">
      <c r="A19" s="2" t="s">
        <v>66</v>
      </c>
      <c r="B19" s="2" t="s">
        <v>67</v>
      </c>
      <c r="C19" s="2" t="s">
        <v>70</v>
      </c>
      <c r="D19" s="2" t="s">
        <v>71</v>
      </c>
      <c r="E19" s="3" t="n">
        <v>4</v>
      </c>
      <c r="F19" s="3" t="n">
        <v>0</v>
      </c>
      <c r="G19" s="3" t="s">
        <v>63</v>
      </c>
      <c r="H19" s="6" t="n">
        <f aca="false">IF(G19="psi",P_PSI,IF(G19="ptz",P_PTZ,1))</f>
        <v>0.5</v>
      </c>
      <c r="I19" s="7" t="n">
        <f aca="false">(E19+F19*N_SVC)*H19</f>
        <v>2</v>
      </c>
      <c r="J19" s="7" t="n">
        <f aca="false">(E19*HF_F+F19)*H19</f>
        <v>1</v>
      </c>
      <c r="K19" s="7" t="n">
        <f aca="false">I19*REL_YEAR+J19*HF_YEAR</f>
        <v>28</v>
      </c>
    </row>
    <row r="20" customFormat="false" ht="15" hidden="false" customHeight="false" outlineLevel="0" collapsed="false">
      <c r="A20" s="2" t="s">
        <v>72</v>
      </c>
      <c r="B20" s="2" t="s">
        <v>73</v>
      </c>
      <c r="C20" s="2" t="s">
        <v>68</v>
      </c>
      <c r="D20" s="2" t="s">
        <v>69</v>
      </c>
      <c r="E20" s="3" t="n">
        <v>8</v>
      </c>
      <c r="F20" s="3" t="n">
        <v>12</v>
      </c>
      <c r="G20" s="3" t="s">
        <v>40</v>
      </c>
      <c r="H20" s="6" t="n">
        <f aca="false">IF(G20="psi",P_PSI,IF(G20="ptz",P_PTZ,1))</f>
        <v>1</v>
      </c>
      <c r="I20" s="7" t="n">
        <f aca="false">(E20+F20*N_SVC)*H20</f>
        <v>128</v>
      </c>
      <c r="J20" s="7" t="n">
        <f aca="false">(E20*HF_F+F20)*H20</f>
        <v>16</v>
      </c>
      <c r="K20" s="7" t="n">
        <f aca="false">I20*REL_YEAR+J20*HF_YEAR</f>
        <v>1600</v>
      </c>
    </row>
    <row r="21" customFormat="false" ht="15" hidden="false" customHeight="false" outlineLevel="0" collapsed="false">
      <c r="A21" s="2" t="s">
        <v>74</v>
      </c>
      <c r="B21" s="2" t="s">
        <v>75</v>
      </c>
      <c r="C21" s="2" t="s">
        <v>68</v>
      </c>
      <c r="D21" s="2" t="s">
        <v>69</v>
      </c>
      <c r="E21" s="3" t="n">
        <v>4</v>
      </c>
      <c r="F21" s="3" t="n">
        <v>0.5</v>
      </c>
      <c r="G21" s="3" t="s">
        <v>40</v>
      </c>
      <c r="H21" s="6" t="n">
        <f aca="false">IF(G21="psi",P_PSI,IF(G21="ptz",P_PTZ,1))</f>
        <v>1</v>
      </c>
      <c r="I21" s="7" t="n">
        <f aca="false">(E21+F21*N_SVC)*H21</f>
        <v>9</v>
      </c>
      <c r="J21" s="7" t="n">
        <f aca="false">(E21*HF_F+F21)*H21</f>
        <v>2.5</v>
      </c>
      <c r="K21" s="7" t="n">
        <f aca="false">I21*REL_YEAR+J21*HF_YEAR</f>
        <v>118</v>
      </c>
    </row>
    <row r="22" customFormat="false" ht="28.35" hidden="false" customHeight="false" outlineLevel="0" collapsed="false">
      <c r="A22" s="2" t="s">
        <v>76</v>
      </c>
      <c r="B22" s="2" t="s">
        <v>77</v>
      </c>
      <c r="C22" s="2" t="s">
        <v>45</v>
      </c>
      <c r="D22" s="2" t="s">
        <v>46</v>
      </c>
      <c r="E22" s="3" t="n">
        <v>0</v>
      </c>
      <c r="F22" s="3" t="n">
        <v>10</v>
      </c>
      <c r="G22" s="3" t="s">
        <v>40</v>
      </c>
      <c r="H22" s="6" t="n">
        <f aca="false">IF(G22="psi",P_PSI,IF(G22="ptz",P_PTZ,1))</f>
        <v>1</v>
      </c>
      <c r="I22" s="7" t="n">
        <f aca="false">(E22+F22*N_SVC)*H22</f>
        <v>100</v>
      </c>
      <c r="J22" s="7" t="n">
        <f aca="false">(E22*HF_F+F22)*H22</f>
        <v>10</v>
      </c>
      <c r="K22" s="7" t="n">
        <f aca="false">I22*REL_YEAR+J22*HF_YEAR</f>
        <v>1240</v>
      </c>
    </row>
    <row r="23" customFormat="false" ht="15" hidden="false" customHeight="false" outlineLevel="0" collapsed="false">
      <c r="A23" s="2" t="s">
        <v>78</v>
      </c>
      <c r="B23" s="2" t="s">
        <v>79</v>
      </c>
      <c r="C23" s="2" t="s">
        <v>68</v>
      </c>
      <c r="D23" s="2" t="s">
        <v>69</v>
      </c>
      <c r="E23" s="3" t="n">
        <v>0</v>
      </c>
      <c r="F23" s="3" t="n">
        <v>2</v>
      </c>
      <c r="G23" s="3" t="s">
        <v>40</v>
      </c>
      <c r="H23" s="6" t="n">
        <f aca="false">IF(G23="psi",P_PSI,IF(G23="ptz",P_PTZ,1))</f>
        <v>1</v>
      </c>
      <c r="I23" s="7" t="n">
        <f aca="false">(E23+F23*N_SVC)*H23</f>
        <v>20</v>
      </c>
      <c r="J23" s="7" t="n">
        <f aca="false">(E23*HF_F+F23)*H23</f>
        <v>2</v>
      </c>
      <c r="K23" s="7" t="n">
        <f aca="false">I23*REL_YEAR+J23*HF_YEAR</f>
        <v>248</v>
      </c>
    </row>
    <row r="24" customFormat="false" ht="15" hidden="false" customHeight="false" outlineLevel="0" collapsed="false">
      <c r="A24" s="2" t="s">
        <v>80</v>
      </c>
      <c r="B24" s="2" t="s">
        <v>81</v>
      </c>
      <c r="C24" s="2" t="s">
        <v>38</v>
      </c>
      <c r="D24" s="2" t="s">
        <v>39</v>
      </c>
      <c r="E24" s="3" t="n">
        <v>3</v>
      </c>
      <c r="F24" s="3" t="n">
        <v>0</v>
      </c>
      <c r="G24" s="3" t="s">
        <v>40</v>
      </c>
      <c r="H24" s="6" t="n">
        <f aca="false">IF(G24="psi",P_PSI,IF(G24="ptz",P_PTZ,1))</f>
        <v>1</v>
      </c>
      <c r="I24" s="7" t="n">
        <f aca="false">(E24+F24*N_SVC)*H24</f>
        <v>3</v>
      </c>
      <c r="J24" s="7" t="n">
        <f aca="false">(E24*HF_F+F24)*H24</f>
        <v>1.5</v>
      </c>
      <c r="K24" s="7" t="n">
        <f aca="false">I24*REL_YEAR+J24*HF_YEAR</f>
        <v>42</v>
      </c>
    </row>
    <row r="25" customFormat="false" ht="15" hidden="false" customHeight="false" outlineLevel="0" collapsed="false">
      <c r="A25" s="2" t="s">
        <v>80</v>
      </c>
      <c r="B25" s="2" t="s">
        <v>81</v>
      </c>
      <c r="C25" s="2" t="s">
        <v>68</v>
      </c>
      <c r="D25" s="2" t="s">
        <v>69</v>
      </c>
      <c r="E25" s="3" t="n">
        <v>3</v>
      </c>
      <c r="F25" s="3" t="n">
        <v>0</v>
      </c>
      <c r="G25" s="3" t="s">
        <v>40</v>
      </c>
      <c r="H25" s="6" t="n">
        <f aca="false">IF(G25="psi",P_PSI,IF(G25="ptz",P_PTZ,1))</f>
        <v>1</v>
      </c>
      <c r="I25" s="7" t="n">
        <f aca="false">(E25+F25*N_SVC)*H25</f>
        <v>3</v>
      </c>
      <c r="J25" s="7" t="n">
        <f aca="false">(E25*HF_F+F25)*H25</f>
        <v>1.5</v>
      </c>
      <c r="K25" s="7" t="n">
        <f aca="false">I25*REL_YEAR+J25*HF_YEAR</f>
        <v>42</v>
      </c>
    </row>
    <row r="26" customFormat="false" ht="15" hidden="false" customHeight="false" outlineLevel="0" collapsed="false">
      <c r="A26" s="2" t="s">
        <v>82</v>
      </c>
      <c r="B26" s="2" t="s">
        <v>83</v>
      </c>
      <c r="C26" s="2" t="s">
        <v>43</v>
      </c>
      <c r="D26" s="2" t="s">
        <v>44</v>
      </c>
      <c r="E26" s="3" t="n">
        <v>2</v>
      </c>
      <c r="F26" s="3" t="n">
        <v>0</v>
      </c>
      <c r="G26" s="3" t="s">
        <v>40</v>
      </c>
      <c r="H26" s="6" t="n">
        <f aca="false">IF(G26="psi",P_PSI,IF(G26="ptz",P_PTZ,1))</f>
        <v>1</v>
      </c>
      <c r="I26" s="7" t="n">
        <f aca="false">(E26+F26*N_SVC)*H26</f>
        <v>2</v>
      </c>
      <c r="J26" s="7" t="n">
        <f aca="false">(E26*HF_F+F26)*H26</f>
        <v>1</v>
      </c>
      <c r="K26" s="7" t="n">
        <f aca="false">I26*REL_YEAR+J26*HF_YEAR</f>
        <v>28</v>
      </c>
    </row>
    <row r="27" customFormat="false" ht="15" hidden="false" customHeight="false" outlineLevel="0" collapsed="false">
      <c r="A27" s="2" t="s">
        <v>82</v>
      </c>
      <c r="B27" s="2" t="s">
        <v>83</v>
      </c>
      <c r="C27" s="2" t="s">
        <v>38</v>
      </c>
      <c r="D27" s="2" t="s">
        <v>39</v>
      </c>
      <c r="E27" s="3" t="n">
        <v>1</v>
      </c>
      <c r="F27" s="3" t="n">
        <v>0</v>
      </c>
      <c r="G27" s="3" t="s">
        <v>40</v>
      </c>
      <c r="H27" s="6" t="n">
        <f aca="false">IF(G27="psi",P_PSI,IF(G27="ptz",P_PTZ,1))</f>
        <v>1</v>
      </c>
      <c r="I27" s="7" t="n">
        <f aca="false">(E27+F27*N_SVC)*H27</f>
        <v>1</v>
      </c>
      <c r="J27" s="7" t="n">
        <f aca="false">(E27*HF_F+F27)*H27</f>
        <v>0.5</v>
      </c>
      <c r="K27" s="7" t="n">
        <f aca="false">I27*REL_YEAR+J27*HF_YEAR</f>
        <v>14</v>
      </c>
    </row>
    <row r="28" customFormat="false" ht="15" hidden="false" customHeight="false" outlineLevel="0" collapsed="false">
      <c r="A28" s="2" t="s">
        <v>84</v>
      </c>
      <c r="B28" s="2" t="s">
        <v>85</v>
      </c>
      <c r="C28" s="2" t="s">
        <v>38</v>
      </c>
      <c r="D28" s="2" t="s">
        <v>39</v>
      </c>
      <c r="E28" s="3" t="n">
        <v>6</v>
      </c>
      <c r="F28" s="3" t="n">
        <v>0</v>
      </c>
      <c r="G28" s="3" t="s">
        <v>40</v>
      </c>
      <c r="H28" s="6" t="n">
        <f aca="false">IF(G28="psi",P_PSI,IF(G28="ptz",P_PTZ,1))</f>
        <v>1</v>
      </c>
      <c r="I28" s="7" t="n">
        <f aca="false">(E28+F28*N_SVC)*H28</f>
        <v>6</v>
      </c>
      <c r="J28" s="7" t="n">
        <f aca="false">(E28*HF_F+F28)*H28</f>
        <v>3</v>
      </c>
      <c r="K28" s="7" t="n">
        <f aca="false">I28*REL_YEAR+J28*HF_YEAR</f>
        <v>84</v>
      </c>
    </row>
    <row r="29" customFormat="false" ht="15" hidden="false" customHeight="false" outlineLevel="0" collapsed="false">
      <c r="A29" s="2" t="s">
        <v>84</v>
      </c>
      <c r="B29" s="2" t="s">
        <v>85</v>
      </c>
      <c r="C29" s="2" t="s">
        <v>86</v>
      </c>
      <c r="D29" s="2" t="s">
        <v>87</v>
      </c>
      <c r="E29" s="3" t="n">
        <v>2</v>
      </c>
      <c r="F29" s="3" t="n">
        <v>0</v>
      </c>
      <c r="G29" s="3" t="s">
        <v>40</v>
      </c>
      <c r="H29" s="6" t="n">
        <f aca="false">IF(G29="psi",P_PSI,IF(G29="ptz",P_PTZ,1))</f>
        <v>1</v>
      </c>
      <c r="I29" s="7" t="n">
        <f aca="false">(E29+F29*N_SVC)*H29</f>
        <v>2</v>
      </c>
      <c r="J29" s="7" t="n">
        <f aca="false">(E29*HF_F+F29)*H29</f>
        <v>1</v>
      </c>
      <c r="K29" s="7" t="n">
        <f aca="false">I29*REL_YEAR+J29*HF_YEAR</f>
        <v>28</v>
      </c>
    </row>
    <row r="30" customFormat="false" ht="15" hidden="false" customHeight="false" outlineLevel="0" collapsed="false">
      <c r="A30" s="2" t="s">
        <v>88</v>
      </c>
      <c r="B30" s="2" t="s">
        <v>89</v>
      </c>
      <c r="C30" s="2" t="s">
        <v>43</v>
      </c>
      <c r="D30" s="2" t="s">
        <v>44</v>
      </c>
      <c r="E30" s="3" t="n">
        <v>2</v>
      </c>
      <c r="F30" s="3" t="n">
        <v>0.25</v>
      </c>
      <c r="G30" s="3" t="s">
        <v>40</v>
      </c>
      <c r="H30" s="6" t="n">
        <f aca="false">IF(G30="psi",P_PSI,IF(G30="ptz",P_PTZ,1))</f>
        <v>1</v>
      </c>
      <c r="I30" s="7" t="n">
        <f aca="false">(E30+F30*N_SVC)*H30</f>
        <v>4.5</v>
      </c>
      <c r="J30" s="7" t="n">
        <f aca="false">(E30*HF_F+F30)*H30</f>
        <v>1.25</v>
      </c>
      <c r="K30" s="7" t="n">
        <f aca="false">I30*REL_YEAR+J30*HF_YEAR</f>
        <v>59</v>
      </c>
    </row>
    <row r="31" customFormat="false" ht="15" hidden="false" customHeight="false" outlineLevel="0" collapsed="false">
      <c r="A31" s="2" t="s">
        <v>90</v>
      </c>
      <c r="B31" s="2" t="s">
        <v>91</v>
      </c>
      <c r="C31" s="2" t="s">
        <v>59</v>
      </c>
      <c r="D31" s="2" t="s">
        <v>60</v>
      </c>
      <c r="E31" s="3" t="n">
        <v>8</v>
      </c>
      <c r="F31" s="3" t="n">
        <v>1</v>
      </c>
      <c r="G31" s="3" t="s">
        <v>40</v>
      </c>
      <c r="H31" s="6" t="n">
        <f aca="false">IF(G31="psi",P_PSI,IF(G31="ptz",P_PTZ,1))</f>
        <v>1</v>
      </c>
      <c r="I31" s="7" t="n">
        <f aca="false">(E31+F31*N_SVC)*H31</f>
        <v>18</v>
      </c>
      <c r="J31" s="7" t="n">
        <f aca="false">(E31*HF_F+F31)*H31</f>
        <v>5</v>
      </c>
      <c r="K31" s="7" t="n">
        <f aca="false">I31*REL_YEAR+J31*HF_YEAR</f>
        <v>236</v>
      </c>
    </row>
    <row r="32" customFormat="false" ht="15" hidden="false" customHeight="false" outlineLevel="0" collapsed="false">
      <c r="A32" s="2" t="s">
        <v>90</v>
      </c>
      <c r="B32" s="2" t="s">
        <v>91</v>
      </c>
      <c r="C32" s="2" t="s">
        <v>43</v>
      </c>
      <c r="D32" s="2" t="s">
        <v>44</v>
      </c>
      <c r="E32" s="3" t="n">
        <v>2</v>
      </c>
      <c r="F32" s="3" t="n">
        <v>0</v>
      </c>
      <c r="G32" s="3" t="s">
        <v>40</v>
      </c>
      <c r="H32" s="6" t="n">
        <f aca="false">IF(G32="psi",P_PSI,IF(G32="ptz",P_PTZ,1))</f>
        <v>1</v>
      </c>
      <c r="I32" s="7" t="n">
        <f aca="false">(E32+F32*N_SVC)*H32</f>
        <v>2</v>
      </c>
      <c r="J32" s="7" t="n">
        <f aca="false">(E32*HF_F+F32)*H32</f>
        <v>1</v>
      </c>
      <c r="K32" s="7" t="n">
        <f aca="false">I32*REL_YEAR+J32*HF_YEAR</f>
        <v>28</v>
      </c>
    </row>
    <row r="33" customFormat="false" ht="15" hidden="false" customHeight="false" outlineLevel="0" collapsed="false">
      <c r="A33" s="2" t="s">
        <v>92</v>
      </c>
      <c r="B33" s="2" t="s">
        <v>93</v>
      </c>
      <c r="C33" s="2" t="s">
        <v>59</v>
      </c>
      <c r="D33" s="2" t="s">
        <v>60</v>
      </c>
      <c r="E33" s="3" t="n">
        <v>4</v>
      </c>
      <c r="F33" s="3" t="n">
        <v>0</v>
      </c>
      <c r="G33" s="3" t="s">
        <v>94</v>
      </c>
      <c r="H33" s="6" t="n">
        <f aca="false">IF(G33="psi",P_PSI,IF(G33="ptz",P_PTZ,1))</f>
        <v>0.5</v>
      </c>
      <c r="I33" s="7" t="n">
        <f aca="false">(E33+F33*N_SVC)*H33</f>
        <v>2</v>
      </c>
      <c r="J33" s="7" t="n">
        <f aca="false">(E33*HF_F+F33)*H33</f>
        <v>1</v>
      </c>
      <c r="K33" s="7" t="n">
        <f aca="false">I33*REL_YEAR+J33*HF_YEAR</f>
        <v>28</v>
      </c>
    </row>
    <row r="34" customFormat="false" ht="15" hidden="false" customHeight="false" outlineLevel="0" collapsed="false">
      <c r="A34" s="2" t="s">
        <v>92</v>
      </c>
      <c r="B34" s="2" t="s">
        <v>93</v>
      </c>
      <c r="C34" s="2" t="s">
        <v>43</v>
      </c>
      <c r="D34" s="2" t="s">
        <v>44</v>
      </c>
      <c r="E34" s="3" t="n">
        <v>2</v>
      </c>
      <c r="F34" s="3" t="n">
        <v>0</v>
      </c>
      <c r="G34" s="3" t="s">
        <v>94</v>
      </c>
      <c r="H34" s="6" t="n">
        <f aca="false">IF(G34="psi",P_PSI,IF(G34="ptz",P_PTZ,1))</f>
        <v>0.5</v>
      </c>
      <c r="I34" s="7" t="n">
        <f aca="false">(E34+F34*N_SVC)*H34</f>
        <v>1</v>
      </c>
      <c r="J34" s="7" t="n">
        <f aca="false">(E34*HF_F+F34)*H34</f>
        <v>0.5</v>
      </c>
      <c r="K34" s="7" t="n">
        <f aca="false">I34*REL_YEAR+J34*HF_YEAR</f>
        <v>14</v>
      </c>
    </row>
    <row r="35" customFormat="false" ht="15" hidden="false" customHeight="false" outlineLevel="0" collapsed="false">
      <c r="A35" s="2" t="s">
        <v>95</v>
      </c>
      <c r="B35" s="2" t="s">
        <v>96</v>
      </c>
      <c r="C35" s="2" t="s">
        <v>43</v>
      </c>
      <c r="D35" s="2" t="s">
        <v>44</v>
      </c>
      <c r="E35" s="3" t="n">
        <v>3</v>
      </c>
      <c r="F35" s="3" t="n">
        <v>0.25</v>
      </c>
      <c r="G35" s="3" t="s">
        <v>40</v>
      </c>
      <c r="H35" s="6" t="n">
        <f aca="false">IF(G35="psi",P_PSI,IF(G35="ptz",P_PTZ,1))</f>
        <v>1</v>
      </c>
      <c r="I35" s="7" t="n">
        <f aca="false">(E35+F35*N_SVC)*H35</f>
        <v>5.5</v>
      </c>
      <c r="J35" s="7" t="n">
        <f aca="false">(E35*HF_F+F35)*H35</f>
        <v>1.75</v>
      </c>
      <c r="K35" s="7" t="n">
        <f aca="false">I35*REL_YEAR+J35*HF_YEAR</f>
        <v>73</v>
      </c>
    </row>
    <row r="36" customFormat="false" ht="15" hidden="false" customHeight="false" outlineLevel="0" collapsed="false">
      <c r="A36" s="2" t="s">
        <v>95</v>
      </c>
      <c r="B36" s="2" t="s">
        <v>96</v>
      </c>
      <c r="C36" s="2" t="s">
        <v>97</v>
      </c>
      <c r="D36" s="2" t="s">
        <v>98</v>
      </c>
      <c r="E36" s="3" t="n">
        <v>4</v>
      </c>
      <c r="F36" s="3" t="n">
        <v>0</v>
      </c>
      <c r="G36" s="3" t="s">
        <v>40</v>
      </c>
      <c r="H36" s="6" t="n">
        <f aca="false">IF(G36="psi",P_PSI,IF(G36="ptz",P_PTZ,1))</f>
        <v>1</v>
      </c>
      <c r="I36" s="7" t="n">
        <f aca="false">(E36+F36*N_SVC)*H36</f>
        <v>4</v>
      </c>
      <c r="J36" s="7" t="n">
        <f aca="false">(E36*HF_F+F36)*H36</f>
        <v>2</v>
      </c>
      <c r="K36" s="7" t="n">
        <f aca="false">I36*REL_YEAR+J36*HF_YEAR</f>
        <v>56</v>
      </c>
    </row>
    <row r="37" customFormat="false" ht="15" hidden="false" customHeight="false" outlineLevel="0" collapsed="false">
      <c r="A37" s="2" t="s">
        <v>99</v>
      </c>
      <c r="B37" s="2" t="s">
        <v>100</v>
      </c>
      <c r="C37" s="2" t="s">
        <v>59</v>
      </c>
      <c r="D37" s="2" t="s">
        <v>60</v>
      </c>
      <c r="E37" s="3" t="n">
        <v>3</v>
      </c>
      <c r="F37" s="3" t="n">
        <v>0.25</v>
      </c>
      <c r="G37" s="3" t="s">
        <v>40</v>
      </c>
      <c r="H37" s="6" t="n">
        <f aca="false">IF(G37="psi",P_PSI,IF(G37="ptz",P_PTZ,1))</f>
        <v>1</v>
      </c>
      <c r="I37" s="7" t="n">
        <f aca="false">(E37+F37*N_SVC)*H37</f>
        <v>5.5</v>
      </c>
      <c r="J37" s="7" t="n">
        <f aca="false">(E37*HF_F+F37)*H37</f>
        <v>1.75</v>
      </c>
      <c r="K37" s="7" t="n">
        <f aca="false">I37*REL_YEAR+J37*HF_YEAR</f>
        <v>73</v>
      </c>
    </row>
    <row r="38" customFormat="false" ht="15" hidden="false" customHeight="false" outlineLevel="0" collapsed="false">
      <c r="A38" s="2" t="s">
        <v>99</v>
      </c>
      <c r="B38" s="2" t="s">
        <v>100</v>
      </c>
      <c r="C38" s="2" t="s">
        <v>38</v>
      </c>
      <c r="D38" s="2" t="s">
        <v>39</v>
      </c>
      <c r="E38" s="3" t="n">
        <v>1</v>
      </c>
      <c r="F38" s="3" t="n">
        <v>0</v>
      </c>
      <c r="G38" s="3" t="s">
        <v>40</v>
      </c>
      <c r="H38" s="6" t="n">
        <f aca="false">IF(G38="psi",P_PSI,IF(G38="ptz",P_PTZ,1))</f>
        <v>1</v>
      </c>
      <c r="I38" s="7" t="n">
        <f aca="false">(E38+F38*N_SVC)*H38</f>
        <v>1</v>
      </c>
      <c r="J38" s="7" t="n">
        <f aca="false">(E38*HF_F+F38)*H38</f>
        <v>0.5</v>
      </c>
      <c r="K38" s="7" t="n">
        <f aca="false">I38*REL_YEAR+J38*HF_YEAR</f>
        <v>14</v>
      </c>
    </row>
    <row r="39" customFormat="false" ht="15" hidden="false" customHeight="false" outlineLevel="0" collapsed="false">
      <c r="A39" s="2" t="s">
        <v>101</v>
      </c>
      <c r="B39" s="2" t="s">
        <v>102</v>
      </c>
      <c r="C39" s="2" t="s">
        <v>97</v>
      </c>
      <c r="D39" s="2" t="s">
        <v>98</v>
      </c>
      <c r="E39" s="3" t="n">
        <v>4</v>
      </c>
      <c r="F39" s="3" t="n">
        <v>0.5</v>
      </c>
      <c r="G39" s="3" t="s">
        <v>40</v>
      </c>
      <c r="H39" s="6" t="n">
        <f aca="false">IF(G39="psi",P_PSI,IF(G39="ptz",P_PTZ,1))</f>
        <v>1</v>
      </c>
      <c r="I39" s="7" t="n">
        <f aca="false">(E39+F39*N_SVC)*H39</f>
        <v>9</v>
      </c>
      <c r="J39" s="7" t="n">
        <f aca="false">(E39*HF_F+F39)*H39</f>
        <v>2.5</v>
      </c>
      <c r="K39" s="7" t="n">
        <f aca="false">I39*REL_YEAR+J39*HF_YEAR</f>
        <v>118</v>
      </c>
    </row>
    <row r="40" customFormat="false" ht="15" hidden="false" customHeight="false" outlineLevel="0" collapsed="false">
      <c r="A40" s="2" t="s">
        <v>101</v>
      </c>
      <c r="B40" s="2" t="s">
        <v>102</v>
      </c>
      <c r="C40" s="2" t="s">
        <v>43</v>
      </c>
      <c r="D40" s="2" t="s">
        <v>44</v>
      </c>
      <c r="E40" s="3" t="n">
        <v>1</v>
      </c>
      <c r="F40" s="3" t="n">
        <v>0.25</v>
      </c>
      <c r="G40" s="3" t="s">
        <v>40</v>
      </c>
      <c r="H40" s="6" t="n">
        <f aca="false">IF(G40="psi",P_PSI,IF(G40="ptz",P_PTZ,1))</f>
        <v>1</v>
      </c>
      <c r="I40" s="7" t="n">
        <f aca="false">(E40+F40*N_SVC)*H40</f>
        <v>3.5</v>
      </c>
      <c r="J40" s="7" t="n">
        <f aca="false">(E40*HF_F+F40)*H40</f>
        <v>0.75</v>
      </c>
      <c r="K40" s="7" t="n">
        <f aca="false">I40*REL_YEAR+J40*HF_YEAR</f>
        <v>45</v>
      </c>
    </row>
    <row r="41" customFormat="false" ht="15" hidden="false" customHeight="false" outlineLevel="0" collapsed="false">
      <c r="A41" s="2" t="s">
        <v>103</v>
      </c>
      <c r="B41" s="2" t="s">
        <v>104</v>
      </c>
      <c r="C41" s="2" t="s">
        <v>105</v>
      </c>
      <c r="D41" s="2" t="s">
        <v>106</v>
      </c>
      <c r="E41" s="3" t="n">
        <v>2</v>
      </c>
      <c r="F41" s="3" t="n">
        <v>0.5</v>
      </c>
      <c r="G41" s="3" t="s">
        <v>40</v>
      </c>
      <c r="H41" s="6" t="n">
        <f aca="false">IF(G41="psi",P_PSI,IF(G41="ptz",P_PTZ,1))</f>
        <v>1</v>
      </c>
      <c r="I41" s="7" t="n">
        <f aca="false">(E41+F41*N_SVC)*H41</f>
        <v>7</v>
      </c>
      <c r="J41" s="7" t="n">
        <f aca="false">(E41*HF_F+F41)*H41</f>
        <v>1.5</v>
      </c>
      <c r="K41" s="7" t="n">
        <f aca="false">I41*REL_YEAR+J41*HF_YEAR</f>
        <v>90</v>
      </c>
    </row>
    <row r="42" customFormat="false" ht="15" hidden="false" customHeight="false" outlineLevel="0" collapsed="false">
      <c r="A42" s="2" t="s">
        <v>107</v>
      </c>
      <c r="B42" s="2" t="s">
        <v>108</v>
      </c>
      <c r="C42" s="2" t="s">
        <v>109</v>
      </c>
      <c r="D42" s="2" t="s">
        <v>110</v>
      </c>
      <c r="E42" s="3" t="n">
        <v>2</v>
      </c>
      <c r="F42" s="3" t="n">
        <v>0.5</v>
      </c>
      <c r="G42" s="3" t="s">
        <v>40</v>
      </c>
      <c r="H42" s="6" t="n">
        <f aca="false">IF(G42="psi",P_PSI,IF(G42="ptz",P_PTZ,1))</f>
        <v>1</v>
      </c>
      <c r="I42" s="7" t="n">
        <f aca="false">(E42+F42*N_SVC)*H42</f>
        <v>7</v>
      </c>
      <c r="J42" s="7" t="n">
        <f aca="false">(E42*HF_F+F42)*H42</f>
        <v>1.5</v>
      </c>
      <c r="K42" s="7" t="n">
        <f aca="false">I42*REL_YEAR+J42*HF_YEAR</f>
        <v>90</v>
      </c>
    </row>
    <row r="43" customFormat="false" ht="15" hidden="false" customHeight="false" outlineLevel="0" collapsed="false">
      <c r="A43" s="2" t="s">
        <v>111</v>
      </c>
      <c r="B43" s="2" t="s">
        <v>112</v>
      </c>
      <c r="C43" s="2" t="s">
        <v>38</v>
      </c>
      <c r="D43" s="2" t="s">
        <v>39</v>
      </c>
      <c r="E43" s="3" t="n">
        <v>8</v>
      </c>
      <c r="F43" s="3" t="n">
        <v>1</v>
      </c>
      <c r="G43" s="3" t="s">
        <v>40</v>
      </c>
      <c r="H43" s="6" t="n">
        <f aca="false">IF(G43="psi",P_PSI,IF(G43="ptz",P_PTZ,1))</f>
        <v>1</v>
      </c>
      <c r="I43" s="7" t="n">
        <f aca="false">(E43+F43*N_SVC)*H43</f>
        <v>18</v>
      </c>
      <c r="J43" s="7" t="n">
        <f aca="false">(E43*HF_F+F43)*H43</f>
        <v>5</v>
      </c>
      <c r="K43" s="7" t="n">
        <f aca="false">I43*REL_YEAR+J43*HF_YEAR</f>
        <v>236</v>
      </c>
    </row>
    <row r="44" customFormat="false" ht="15" hidden="false" customHeight="false" outlineLevel="0" collapsed="false">
      <c r="A44" s="2" t="s">
        <v>111</v>
      </c>
      <c r="B44" s="2" t="s">
        <v>112</v>
      </c>
      <c r="C44" s="2" t="s">
        <v>113</v>
      </c>
      <c r="D44" s="2" t="s">
        <v>114</v>
      </c>
      <c r="E44" s="3" t="n">
        <v>8</v>
      </c>
      <c r="F44" s="3" t="n">
        <v>2</v>
      </c>
      <c r="G44" s="3" t="s">
        <v>40</v>
      </c>
      <c r="H44" s="6" t="n">
        <f aca="false">IF(G44="psi",P_PSI,IF(G44="ptz",P_PTZ,1))</f>
        <v>1</v>
      </c>
      <c r="I44" s="7" t="n">
        <f aca="false">(E44+F44*N_SVC)*H44</f>
        <v>28</v>
      </c>
      <c r="J44" s="7" t="n">
        <f aca="false">(E44*HF_F+F44)*H44</f>
        <v>6</v>
      </c>
      <c r="K44" s="7" t="n">
        <f aca="false">I44*REL_YEAR+J44*HF_YEAR</f>
        <v>360</v>
      </c>
    </row>
    <row r="45" customFormat="false" ht="15" hidden="false" customHeight="false" outlineLevel="0" collapsed="false">
      <c r="A45" s="2" t="s">
        <v>115</v>
      </c>
      <c r="B45" s="2" t="s">
        <v>116</v>
      </c>
      <c r="C45" s="2" t="s">
        <v>38</v>
      </c>
      <c r="D45" s="2" t="s">
        <v>39</v>
      </c>
      <c r="E45" s="3" t="n">
        <v>3</v>
      </c>
      <c r="F45" s="3" t="n">
        <v>0</v>
      </c>
      <c r="G45" s="3" t="s">
        <v>40</v>
      </c>
      <c r="H45" s="6" t="n">
        <f aca="false">IF(G45="psi",P_PSI,IF(G45="ptz",P_PTZ,1))</f>
        <v>1</v>
      </c>
      <c r="I45" s="7" t="n">
        <f aca="false">(E45+F45*N_SVC)*H45</f>
        <v>3</v>
      </c>
      <c r="J45" s="7" t="n">
        <f aca="false">(E45*HF_F+F45)*H45</f>
        <v>1.5</v>
      </c>
      <c r="K45" s="7" t="n">
        <f aca="false">I45*REL_YEAR+J45*HF_YEAR</f>
        <v>42</v>
      </c>
    </row>
    <row r="46" customFormat="false" ht="15" hidden="false" customHeight="false" outlineLevel="0" collapsed="false">
      <c r="A46" s="2" t="s">
        <v>117</v>
      </c>
      <c r="B46" s="2" t="s">
        <v>118</v>
      </c>
      <c r="C46" s="2" t="s">
        <v>38</v>
      </c>
      <c r="D46" s="2" t="s">
        <v>39</v>
      </c>
      <c r="E46" s="3" t="n">
        <v>1</v>
      </c>
      <c r="F46" s="3" t="n">
        <v>0</v>
      </c>
      <c r="G46" s="3" t="s">
        <v>40</v>
      </c>
      <c r="H46" s="6" t="n">
        <f aca="false">IF(G46="psi",P_PSI,IF(G46="ptz",P_PTZ,1))</f>
        <v>1</v>
      </c>
      <c r="I46" s="7" t="n">
        <f aca="false">(E46+F46*N_SVC)*H46</f>
        <v>1</v>
      </c>
      <c r="J46" s="7" t="n">
        <f aca="false">(E46*HF_F+F46)*H46</f>
        <v>0.5</v>
      </c>
      <c r="K46" s="7" t="n">
        <f aca="false">I46*REL_YEAR+J46*HF_YEAR</f>
        <v>14</v>
      </c>
    </row>
    <row r="47" customFormat="false" ht="15" hidden="false" customHeight="false" outlineLevel="0" collapsed="false">
      <c r="A47" s="2" t="s">
        <v>117</v>
      </c>
      <c r="B47" s="2" t="s">
        <v>118</v>
      </c>
      <c r="C47" s="2" t="s">
        <v>70</v>
      </c>
      <c r="D47" s="2" t="s">
        <v>71</v>
      </c>
      <c r="E47" s="3" t="n">
        <v>1</v>
      </c>
      <c r="F47" s="3" t="n">
        <v>0</v>
      </c>
      <c r="G47" s="3" t="s">
        <v>40</v>
      </c>
      <c r="H47" s="6" t="n">
        <f aca="false">IF(G47="psi",P_PSI,IF(G47="ptz",P_PTZ,1))</f>
        <v>1</v>
      </c>
      <c r="I47" s="7" t="n">
        <f aca="false">(E47+F47*N_SVC)*H47</f>
        <v>1</v>
      </c>
      <c r="J47" s="7" t="n">
        <f aca="false">(E47*HF_F+F47)*H47</f>
        <v>0.5</v>
      </c>
      <c r="K47" s="7" t="n">
        <f aca="false">I47*REL_YEAR+J47*HF_YEAR</f>
        <v>14</v>
      </c>
    </row>
    <row r="48" customFormat="false" ht="15" hidden="false" customHeight="false" outlineLevel="0" collapsed="false">
      <c r="A48" s="2" t="s">
        <v>119</v>
      </c>
      <c r="B48" s="2" t="s">
        <v>120</v>
      </c>
      <c r="C48" s="2" t="s">
        <v>121</v>
      </c>
      <c r="D48" s="2" t="s">
        <v>122</v>
      </c>
      <c r="E48" s="3" t="n">
        <v>3</v>
      </c>
      <c r="F48" s="3" t="n">
        <v>0</v>
      </c>
      <c r="G48" s="3" t="s">
        <v>40</v>
      </c>
      <c r="H48" s="6" t="n">
        <f aca="false">IF(G48="psi",P_PSI,IF(G48="ptz",P_PTZ,1))</f>
        <v>1</v>
      </c>
      <c r="I48" s="7" t="n">
        <f aca="false">(E48+F48*N_SVC)*H48</f>
        <v>3</v>
      </c>
      <c r="J48" s="7" t="n">
        <f aca="false">(E48*HF_F+F48)*H48</f>
        <v>1.5</v>
      </c>
      <c r="K48" s="7" t="n">
        <f aca="false">I48*REL_YEAR+J48*HF_YEAR</f>
        <v>42</v>
      </c>
    </row>
    <row r="49" customFormat="false" ht="15" hidden="false" customHeight="false" outlineLevel="0" collapsed="false">
      <c r="A49" s="2" t="s">
        <v>119</v>
      </c>
      <c r="B49" s="2" t="s">
        <v>120</v>
      </c>
      <c r="C49" s="2" t="s">
        <v>38</v>
      </c>
      <c r="D49" s="2" t="s">
        <v>39</v>
      </c>
      <c r="E49" s="3" t="n">
        <v>1</v>
      </c>
      <c r="F49" s="3" t="n">
        <v>0</v>
      </c>
      <c r="G49" s="3" t="s">
        <v>40</v>
      </c>
      <c r="H49" s="6" t="n">
        <f aca="false">IF(G49="psi",P_PSI,IF(G49="ptz",P_PTZ,1))</f>
        <v>1</v>
      </c>
      <c r="I49" s="7" t="n">
        <f aca="false">(E49+F49*N_SVC)*H49</f>
        <v>1</v>
      </c>
      <c r="J49" s="7" t="n">
        <f aca="false">(E49*HF_F+F49)*H49</f>
        <v>0.5</v>
      </c>
      <c r="K49" s="7" t="n">
        <f aca="false">I49*REL_YEAR+J49*HF_YEAR</f>
        <v>14</v>
      </c>
    </row>
    <row r="50" customFormat="false" ht="15" hidden="false" customHeight="false" outlineLevel="0" collapsed="false">
      <c r="A50" s="2" t="s">
        <v>123</v>
      </c>
      <c r="B50" s="2" t="s">
        <v>124</v>
      </c>
      <c r="C50" s="2" t="s">
        <v>125</v>
      </c>
      <c r="D50" s="2" t="s">
        <v>126</v>
      </c>
      <c r="E50" s="3" t="n">
        <v>4</v>
      </c>
      <c r="F50" s="3" t="n">
        <v>0.25</v>
      </c>
      <c r="G50" s="3" t="s">
        <v>40</v>
      </c>
      <c r="H50" s="6" t="n">
        <f aca="false">IF(G50="psi",P_PSI,IF(G50="ptz",P_PTZ,1))</f>
        <v>1</v>
      </c>
      <c r="I50" s="7" t="n">
        <f aca="false">(E50+F50*N_SVC)*H50</f>
        <v>6.5</v>
      </c>
      <c r="J50" s="7" t="n">
        <f aca="false">(E50*HF_F+F50)*H50</f>
        <v>2.25</v>
      </c>
      <c r="K50" s="7" t="n">
        <f aca="false">I50*REL_YEAR+J50*HF_YEAR</f>
        <v>87</v>
      </c>
    </row>
    <row r="51" customFormat="false" ht="15" hidden="false" customHeight="false" outlineLevel="0" collapsed="false">
      <c r="A51" s="2" t="s">
        <v>123</v>
      </c>
      <c r="B51" s="2" t="s">
        <v>124</v>
      </c>
      <c r="C51" s="2" t="s">
        <v>38</v>
      </c>
      <c r="D51" s="2" t="s">
        <v>39</v>
      </c>
      <c r="E51" s="3" t="n">
        <v>3</v>
      </c>
      <c r="F51" s="3" t="n">
        <v>0</v>
      </c>
      <c r="G51" s="3" t="s">
        <v>40</v>
      </c>
      <c r="H51" s="6" t="n">
        <f aca="false">IF(G51="psi",P_PSI,IF(G51="ptz",P_PTZ,1))</f>
        <v>1</v>
      </c>
      <c r="I51" s="7" t="n">
        <f aca="false">(E51+F51*N_SVC)*H51</f>
        <v>3</v>
      </c>
      <c r="J51" s="7" t="n">
        <f aca="false">(E51*HF_F+F51)*H51</f>
        <v>1.5</v>
      </c>
      <c r="K51" s="7" t="n">
        <f aca="false">I51*REL_YEAR+J51*HF_YEAR</f>
        <v>42</v>
      </c>
    </row>
    <row r="52" customFormat="false" ht="15" hidden="false" customHeight="false" outlineLevel="0" collapsed="false">
      <c r="A52" s="2" t="s">
        <v>127</v>
      </c>
      <c r="B52" s="2" t="s">
        <v>128</v>
      </c>
      <c r="C52" s="2" t="s">
        <v>105</v>
      </c>
      <c r="D52" s="2" t="s">
        <v>106</v>
      </c>
      <c r="E52" s="3" t="n">
        <v>2</v>
      </c>
      <c r="F52" s="3" t="n">
        <v>0.25</v>
      </c>
      <c r="G52" s="3" t="s">
        <v>40</v>
      </c>
      <c r="H52" s="6" t="n">
        <f aca="false">IF(G52="psi",P_PSI,IF(G52="ptz",P_PTZ,1))</f>
        <v>1</v>
      </c>
      <c r="I52" s="7" t="n">
        <f aca="false">(E52+F52*N_SVC)*H52</f>
        <v>4.5</v>
      </c>
      <c r="J52" s="7" t="n">
        <f aca="false">(E52*HF_F+F52)*H52</f>
        <v>1.25</v>
      </c>
      <c r="K52" s="7" t="n">
        <f aca="false">I52*REL_YEAR+J52*HF_YEAR</f>
        <v>59</v>
      </c>
    </row>
    <row r="53" customFormat="false" ht="15" hidden="false" customHeight="false" outlineLevel="0" collapsed="false">
      <c r="A53" s="2" t="s">
        <v>129</v>
      </c>
      <c r="B53" s="2" t="s">
        <v>130</v>
      </c>
      <c r="C53" s="2" t="s">
        <v>109</v>
      </c>
      <c r="D53" s="2" t="s">
        <v>110</v>
      </c>
      <c r="E53" s="3" t="n">
        <v>2</v>
      </c>
      <c r="F53" s="3" t="n">
        <v>0.25</v>
      </c>
      <c r="G53" s="3" t="s">
        <v>40</v>
      </c>
      <c r="H53" s="6" t="n">
        <f aca="false">IF(G53="psi",P_PSI,IF(G53="ptz",P_PTZ,1))</f>
        <v>1</v>
      </c>
      <c r="I53" s="7" t="n">
        <f aca="false">(E53+F53*N_SVC)*H53</f>
        <v>4.5</v>
      </c>
      <c r="J53" s="7" t="n">
        <f aca="false">(E53*HF_F+F53)*H53</f>
        <v>1.25</v>
      </c>
      <c r="K53" s="7" t="n">
        <f aca="false">I53*REL_YEAR+J53*HF_YEAR</f>
        <v>59</v>
      </c>
    </row>
    <row r="54" customFormat="false" ht="15" hidden="false" customHeight="false" outlineLevel="0" collapsed="false">
      <c r="A54" s="2" t="s">
        <v>131</v>
      </c>
      <c r="B54" s="2" t="s">
        <v>132</v>
      </c>
      <c r="C54" s="2" t="s">
        <v>113</v>
      </c>
      <c r="D54" s="2" t="s">
        <v>114</v>
      </c>
      <c r="E54" s="3" t="n">
        <v>4</v>
      </c>
      <c r="F54" s="3" t="n">
        <v>0.5</v>
      </c>
      <c r="G54" s="3" t="s">
        <v>40</v>
      </c>
      <c r="H54" s="6" t="n">
        <f aca="false">IF(G54="psi",P_PSI,IF(G54="ptz",P_PTZ,1))</f>
        <v>1</v>
      </c>
      <c r="I54" s="7" t="n">
        <f aca="false">(E54+F54*N_SVC)*H54</f>
        <v>9</v>
      </c>
      <c r="J54" s="7" t="n">
        <f aca="false">(E54*HF_F+F54)*H54</f>
        <v>2.5</v>
      </c>
      <c r="K54" s="7" t="n">
        <f aca="false">I54*REL_YEAR+J54*HF_YEAR</f>
        <v>118</v>
      </c>
    </row>
    <row r="55" customFormat="false" ht="15" hidden="false" customHeight="false" outlineLevel="0" collapsed="false">
      <c r="A55" s="2" t="s">
        <v>133</v>
      </c>
      <c r="B55" s="2" t="s">
        <v>134</v>
      </c>
      <c r="C55" s="2" t="s">
        <v>43</v>
      </c>
      <c r="D55" s="2" t="s">
        <v>44</v>
      </c>
      <c r="E55" s="3" t="n">
        <v>2</v>
      </c>
      <c r="F55" s="3" t="n">
        <v>0.25</v>
      </c>
      <c r="G55" s="3" t="s">
        <v>40</v>
      </c>
      <c r="H55" s="6" t="n">
        <f aca="false">IF(G55="psi",P_PSI,IF(G55="ptz",P_PTZ,1))</f>
        <v>1</v>
      </c>
      <c r="I55" s="7" t="n">
        <f aca="false">(E55+F55*N_SVC)*H55</f>
        <v>4.5</v>
      </c>
      <c r="J55" s="7" t="n">
        <f aca="false">(E55*HF_F+F55)*H55</f>
        <v>1.25</v>
      </c>
      <c r="K55" s="7" t="n">
        <f aca="false">I55*REL_YEAR+J55*HF_YEAR</f>
        <v>59</v>
      </c>
    </row>
    <row r="56" customFormat="false" ht="28.35" hidden="false" customHeight="false" outlineLevel="0" collapsed="false">
      <c r="A56" s="2" t="s">
        <v>133</v>
      </c>
      <c r="B56" s="2" t="s">
        <v>134</v>
      </c>
      <c r="C56" s="2" t="s">
        <v>45</v>
      </c>
      <c r="D56" s="2" t="s">
        <v>46</v>
      </c>
      <c r="E56" s="3" t="n">
        <v>0</v>
      </c>
      <c r="F56" s="3" t="n">
        <v>0.5</v>
      </c>
      <c r="G56" s="3" t="s">
        <v>40</v>
      </c>
      <c r="H56" s="6" t="n">
        <f aca="false">IF(G56="psi",P_PSI,IF(G56="ptz",P_PTZ,1))</f>
        <v>1</v>
      </c>
      <c r="I56" s="7" t="n">
        <f aca="false">(E56+F56*N_SVC)*H56</f>
        <v>5</v>
      </c>
      <c r="J56" s="7" t="n">
        <f aca="false">(E56*HF_F+F56)*H56</f>
        <v>0.5</v>
      </c>
      <c r="K56" s="7" t="n">
        <f aca="false">I56*REL_YEAR+J56*HF_YEAR</f>
        <v>62</v>
      </c>
    </row>
    <row r="57" customFormat="false" ht="15" hidden="false" customHeight="false" outlineLevel="0" collapsed="false">
      <c r="A57" s="2" t="s">
        <v>135</v>
      </c>
      <c r="B57" s="2" t="s">
        <v>136</v>
      </c>
      <c r="C57" s="2" t="s">
        <v>38</v>
      </c>
      <c r="D57" s="2" t="s">
        <v>39</v>
      </c>
      <c r="E57" s="3" t="n">
        <v>2</v>
      </c>
      <c r="F57" s="3" t="n">
        <v>0</v>
      </c>
      <c r="G57" s="3" t="s">
        <v>40</v>
      </c>
      <c r="H57" s="6" t="n">
        <f aca="false">IF(G57="psi",P_PSI,IF(G57="ptz",P_PTZ,1))</f>
        <v>1</v>
      </c>
      <c r="I57" s="7" t="n">
        <f aca="false">(E57+F57*N_SVC)*H57</f>
        <v>2</v>
      </c>
      <c r="J57" s="7" t="n">
        <f aca="false">(E57*HF_F+F57)*H57</f>
        <v>1</v>
      </c>
      <c r="K57" s="7" t="n">
        <f aca="false">I57*REL_YEAR+J57*HF_YEAR</f>
        <v>28</v>
      </c>
    </row>
    <row r="58" customFormat="false" ht="15" hidden="false" customHeight="false" outlineLevel="0" collapsed="false">
      <c r="A58" s="2" t="s">
        <v>135</v>
      </c>
      <c r="B58" s="2" t="s">
        <v>136</v>
      </c>
      <c r="C58" s="2" t="s">
        <v>43</v>
      </c>
      <c r="D58" s="2" t="s">
        <v>44</v>
      </c>
      <c r="E58" s="3" t="n">
        <v>1</v>
      </c>
      <c r="F58" s="3" t="n">
        <v>0</v>
      </c>
      <c r="G58" s="3" t="s">
        <v>40</v>
      </c>
      <c r="H58" s="6" t="n">
        <f aca="false">IF(G58="psi",P_PSI,IF(G58="ptz",P_PTZ,1))</f>
        <v>1</v>
      </c>
      <c r="I58" s="7" t="n">
        <f aca="false">(E58+F58*N_SVC)*H58</f>
        <v>1</v>
      </c>
      <c r="J58" s="7" t="n">
        <f aca="false">(E58*HF_F+F58)*H58</f>
        <v>0.5</v>
      </c>
      <c r="K58" s="7" t="n">
        <f aca="false">I58*REL_YEAR+J58*HF_YEAR</f>
        <v>14</v>
      </c>
    </row>
    <row r="59" customFormat="false" ht="15" hidden="false" customHeight="false" outlineLevel="0" collapsed="false">
      <c r="A59" s="2" t="s">
        <v>135</v>
      </c>
      <c r="B59" s="2" t="s">
        <v>136</v>
      </c>
      <c r="C59" s="2" t="s">
        <v>68</v>
      </c>
      <c r="D59" s="2" t="s">
        <v>69</v>
      </c>
      <c r="E59" s="3" t="n">
        <v>1</v>
      </c>
      <c r="F59" s="3" t="n">
        <v>0</v>
      </c>
      <c r="G59" s="3" t="s">
        <v>40</v>
      </c>
      <c r="H59" s="6" t="n">
        <f aca="false">IF(G59="psi",P_PSI,IF(G59="ptz",P_PTZ,1))</f>
        <v>1</v>
      </c>
      <c r="I59" s="7" t="n">
        <f aca="false">(E59+F59*N_SVC)*H59</f>
        <v>1</v>
      </c>
      <c r="J59" s="7" t="n">
        <f aca="false">(E59*HF_F+F59)*H59</f>
        <v>0.5</v>
      </c>
      <c r="K59" s="7" t="n">
        <f aca="false">I59*REL_YEAR+J59*HF_YEAR</f>
        <v>14</v>
      </c>
    </row>
    <row r="60" customFormat="false" ht="15" hidden="false" customHeight="false" outlineLevel="0" collapsed="false">
      <c r="A60" s="2" t="s">
        <v>135</v>
      </c>
      <c r="B60" s="2" t="s">
        <v>136</v>
      </c>
      <c r="C60" s="2" t="s">
        <v>59</v>
      </c>
      <c r="D60" s="2" t="s">
        <v>60</v>
      </c>
      <c r="E60" s="3" t="n">
        <v>1</v>
      </c>
      <c r="F60" s="3" t="n">
        <v>0</v>
      </c>
      <c r="G60" s="3" t="s">
        <v>40</v>
      </c>
      <c r="H60" s="6" t="n">
        <f aca="false">IF(G60="psi",P_PSI,IF(G60="ptz",P_PTZ,1))</f>
        <v>1</v>
      </c>
      <c r="I60" s="7" t="n">
        <f aca="false">(E60+F60*N_SVC)*H60</f>
        <v>1</v>
      </c>
      <c r="J60" s="7" t="n">
        <f aca="false">(E60*HF_F+F60)*H60</f>
        <v>0.5</v>
      </c>
      <c r="K60" s="7" t="n">
        <f aca="false">I60*REL_YEAR+J60*HF_YEAR</f>
        <v>14</v>
      </c>
    </row>
    <row r="61" customFormat="false" ht="15" hidden="false" customHeight="false" outlineLevel="0" collapsed="false">
      <c r="A61" s="2"/>
      <c r="B61" s="8" t="s">
        <v>137</v>
      </c>
      <c r="C61" s="2"/>
      <c r="D61" s="2"/>
      <c r="E61" s="2"/>
      <c r="F61" s="2"/>
      <c r="G61" s="2"/>
      <c r="H61" s="6"/>
      <c r="I61" s="9" t="n">
        <f aca="false">SUM(I2:I60)</f>
        <v>635.5</v>
      </c>
      <c r="J61" s="9" t="n">
        <f aca="false">SUM(J2:J60)</f>
        <v>124.35</v>
      </c>
      <c r="K61" s="9" t="n">
        <f aca="false">SUM(K2:K60)</f>
        <v>8123.4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6"/>
  </cols>
  <sheetData>
    <row r="1" customFormat="false" ht="33.75" hidden="false" customHeight="true" outlineLevel="0" collapsed="false">
      <c r="A1" s="1" t="s">
        <v>27</v>
      </c>
      <c r="B1" s="1" t="s">
        <v>28</v>
      </c>
      <c r="C1" s="1" t="s">
        <v>33</v>
      </c>
      <c r="D1" s="1" t="s">
        <v>35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</row>
    <row r="2" customFormat="false" ht="15" hidden="false" customHeight="false" outlineLevel="0" collapsed="false">
      <c r="A2" s="2" t="s">
        <v>38</v>
      </c>
      <c r="B2" s="2" t="s">
        <v>39</v>
      </c>
      <c r="C2" s="10" t="n">
        <f aca="false">SUMIFS('ТРЗ по шагам'!$I$2:$I$60,'ТРЗ по шагам'!$C$2:$C$60,A2)</f>
        <v>51.5</v>
      </c>
      <c r="D2" s="10" t="n">
        <f aca="false">SUMIFS('ТРЗ по шагам'!$K$2:$K$60,'ТРЗ по шагам'!$C$2:$C$60,A2)</f>
        <v>699.4</v>
      </c>
      <c r="E2" s="6" t="n">
        <f aca="false">D2/H_FTE</f>
        <v>0.442434210526316</v>
      </c>
      <c r="F2" s="11" t="n">
        <v>1</v>
      </c>
      <c r="G2" s="6" t="n">
        <f aca="false">F2-E2</f>
        <v>0.557565789473684</v>
      </c>
      <c r="H2" s="3"/>
      <c r="I2" s="12" t="str">
        <f aca="false">IF(H2="","",D2*H2)</f>
        <v/>
      </c>
      <c r="J2" s="12" t="str">
        <f aca="false">IF(H2="","",F2*H_FULL*H2)</f>
        <v/>
      </c>
      <c r="K2" s="12" t="str">
        <f aca="false">IF(H2="","",J2-I2)</f>
        <v/>
      </c>
    </row>
    <row r="3" customFormat="false" ht="15" hidden="false" customHeight="false" outlineLevel="0" collapsed="false">
      <c r="A3" s="2" t="s">
        <v>43</v>
      </c>
      <c r="B3" s="2" t="s">
        <v>44</v>
      </c>
      <c r="C3" s="10" t="n">
        <f aca="false">SUMIFS('ТРЗ по шагам'!$I$2:$I$60,'ТРЗ по шагам'!$C$2:$C$60,A3)</f>
        <v>58.5</v>
      </c>
      <c r="D3" s="10" t="n">
        <f aca="false">SUMIFS('ТРЗ по шагам'!$K$2:$K$60,'ТРЗ по шагам'!$C$2:$C$60,A3)</f>
        <v>771</v>
      </c>
      <c r="E3" s="6" t="n">
        <f aca="false">D3/H_FTE</f>
        <v>0.487727732793522</v>
      </c>
      <c r="F3" s="11" t="n">
        <v>1</v>
      </c>
      <c r="G3" s="6" t="n">
        <f aca="false">F3-E3</f>
        <v>0.512272267206478</v>
      </c>
      <c r="H3" s="3"/>
      <c r="I3" s="12" t="str">
        <f aca="false">IF(H3="","",D3*H3)</f>
        <v/>
      </c>
      <c r="J3" s="12" t="str">
        <f aca="false">IF(H3="","",F3*H_FULL*H3)</f>
        <v/>
      </c>
      <c r="K3" s="12" t="str">
        <f aca="false">IF(H3="","",J3-I3)</f>
        <v/>
      </c>
    </row>
    <row r="4" customFormat="false" ht="28.35" hidden="false" customHeight="false" outlineLevel="0" collapsed="false">
      <c r="A4" s="2" t="s">
        <v>45</v>
      </c>
      <c r="B4" s="2" t="s">
        <v>46</v>
      </c>
      <c r="C4" s="10" t="n">
        <f aca="false">SUMIFS('ТРЗ по шагам'!$I$2:$I$60,'ТРЗ по шагам'!$C$2:$C$60,A4)</f>
        <v>234</v>
      </c>
      <c r="D4" s="10" t="n">
        <f aca="false">SUMIFS('ТРЗ по шагам'!$K$2:$K$60,'ТРЗ по шагам'!$C$2:$C$60,A4)</f>
        <v>2908</v>
      </c>
      <c r="E4" s="6" t="n">
        <f aca="false">D4/H_FTE</f>
        <v>1.83957489878542</v>
      </c>
      <c r="F4" s="11" t="n">
        <v>1</v>
      </c>
      <c r="G4" s="6" t="n">
        <f aca="false">F4-E4</f>
        <v>-0.839574898785425</v>
      </c>
      <c r="H4" s="3"/>
      <c r="I4" s="12" t="str">
        <f aca="false">IF(H4="","",D4*H4)</f>
        <v/>
      </c>
      <c r="J4" s="12" t="str">
        <f aca="false">IF(H4="","",F4*H_FULL*H4)</f>
        <v/>
      </c>
      <c r="K4" s="12" t="str">
        <f aca="false">IF(H4="","",J4-I4)</f>
        <v/>
      </c>
    </row>
    <row r="5" customFormat="false" ht="15" hidden="false" customHeight="false" outlineLevel="0" collapsed="false">
      <c r="A5" s="2" t="s">
        <v>97</v>
      </c>
      <c r="B5" s="2" t="s">
        <v>98</v>
      </c>
      <c r="C5" s="10" t="n">
        <f aca="false">SUMIFS('ТРЗ по шагам'!$I$2:$I$60,'ТРЗ по шагам'!$C$2:$C$60,A5)</f>
        <v>13</v>
      </c>
      <c r="D5" s="10" t="n">
        <f aca="false">SUMIFS('ТРЗ по шагам'!$K$2:$K$60,'ТРЗ по шагам'!$C$2:$C$60,A5)</f>
        <v>174</v>
      </c>
      <c r="E5" s="6" t="n">
        <f aca="false">D5/H_FTE</f>
        <v>0.110070850202429</v>
      </c>
      <c r="F5" s="11" t="n">
        <v>1</v>
      </c>
      <c r="G5" s="6" t="n">
        <f aca="false">F5-E5</f>
        <v>0.889929149797571</v>
      </c>
      <c r="H5" s="3"/>
      <c r="I5" s="12" t="str">
        <f aca="false">IF(H5="","",D5*H5)</f>
        <v/>
      </c>
      <c r="J5" s="12" t="str">
        <f aca="false">IF(H5="","",F5*H_FULL*H5)</f>
        <v/>
      </c>
      <c r="K5" s="12" t="str">
        <f aca="false">IF(H5="","",J5-I5)</f>
        <v/>
      </c>
    </row>
    <row r="6" customFormat="false" ht="15" hidden="false" customHeight="false" outlineLevel="0" collapsed="false">
      <c r="A6" s="2" t="s">
        <v>68</v>
      </c>
      <c r="B6" s="2" t="s">
        <v>69</v>
      </c>
      <c r="C6" s="10" t="n">
        <f aca="false">SUMIFS('ТРЗ по шагам'!$I$2:$I$60,'ТРЗ по шагам'!$C$2:$C$60,A6)</f>
        <v>167</v>
      </c>
      <c r="D6" s="10" t="n">
        <f aca="false">SUMIFS('ТРЗ по шагам'!$K$2:$K$60,'ТРЗ по шагам'!$C$2:$C$60,A6)</f>
        <v>2106</v>
      </c>
      <c r="E6" s="6" t="n">
        <f aca="false">D6/H_FTE</f>
        <v>1.33223684210526</v>
      </c>
      <c r="F6" s="11" t="n">
        <v>1</v>
      </c>
      <c r="G6" s="6" t="n">
        <f aca="false">F6-E6</f>
        <v>-0.332236842105263</v>
      </c>
      <c r="H6" s="3"/>
      <c r="I6" s="12" t="str">
        <f aca="false">IF(H6="","",D6*H6)</f>
        <v/>
      </c>
      <c r="J6" s="12" t="str">
        <f aca="false">IF(H6="","",F6*H_FULL*H6)</f>
        <v/>
      </c>
      <c r="K6" s="12" t="str">
        <f aca="false">IF(H6="","",J6-I6)</f>
        <v/>
      </c>
    </row>
    <row r="7" customFormat="false" ht="15" hidden="false" customHeight="false" outlineLevel="0" collapsed="false">
      <c r="A7" s="2" t="s">
        <v>70</v>
      </c>
      <c r="B7" s="2" t="s">
        <v>71</v>
      </c>
      <c r="C7" s="10" t="n">
        <f aca="false">SUMIFS('ТРЗ по шагам'!$I$2:$I$60,'ТРЗ по шагам'!$C$2:$C$60,A7)</f>
        <v>3</v>
      </c>
      <c r="D7" s="10" t="n">
        <f aca="false">SUMIFS('ТРЗ по шагам'!$K$2:$K$60,'ТРЗ по шагам'!$C$2:$C$60,A7)</f>
        <v>42</v>
      </c>
      <c r="E7" s="6" t="n">
        <f aca="false">D7/H_FTE</f>
        <v>0.0265688259109312</v>
      </c>
      <c r="F7" s="11" t="n">
        <v>1</v>
      </c>
      <c r="G7" s="6" t="n">
        <f aca="false">F7-E7</f>
        <v>0.973431174089069</v>
      </c>
      <c r="H7" s="3"/>
      <c r="I7" s="12" t="str">
        <f aca="false">IF(H7="","",D7*H7)</f>
        <v/>
      </c>
      <c r="J7" s="12" t="str">
        <f aca="false">IF(H7="","",F7*H_FULL*H7)</f>
        <v/>
      </c>
      <c r="K7" s="12" t="str">
        <f aca="false">IF(H7="","",J7-I7)</f>
        <v/>
      </c>
    </row>
    <row r="8" customFormat="false" ht="15" hidden="false" customHeight="false" outlineLevel="0" collapsed="false">
      <c r="A8" s="2" t="s">
        <v>86</v>
      </c>
      <c r="B8" s="2" t="s">
        <v>87</v>
      </c>
      <c r="C8" s="10" t="n">
        <f aca="false">SUMIFS('ТРЗ по шагам'!$I$2:$I$60,'ТРЗ по шагам'!$C$2:$C$60,A8)</f>
        <v>2</v>
      </c>
      <c r="D8" s="10" t="n">
        <f aca="false">SUMIFS('ТРЗ по шагам'!$K$2:$K$60,'ТРЗ по шагам'!$C$2:$C$60,A8)</f>
        <v>28</v>
      </c>
      <c r="E8" s="6" t="n">
        <f aca="false">D8/H_FTE</f>
        <v>0.0177125506072874</v>
      </c>
      <c r="F8" s="11" t="n">
        <v>1</v>
      </c>
      <c r="G8" s="6" t="n">
        <f aca="false">F8-E8</f>
        <v>0.982287449392713</v>
      </c>
      <c r="H8" s="3"/>
      <c r="I8" s="12" t="str">
        <f aca="false">IF(H8="","",D8*H8)</f>
        <v/>
      </c>
      <c r="J8" s="12" t="str">
        <f aca="false">IF(H8="","",F8*H_FULL*H8)</f>
        <v/>
      </c>
      <c r="K8" s="12" t="str">
        <f aca="false">IF(H8="","",J8-I8)</f>
        <v/>
      </c>
    </row>
    <row r="9" customFormat="false" ht="15" hidden="false" customHeight="false" outlineLevel="0" collapsed="false">
      <c r="A9" s="2" t="s">
        <v>121</v>
      </c>
      <c r="B9" s="2" t="s">
        <v>122</v>
      </c>
      <c r="C9" s="10" t="n">
        <f aca="false">SUMIFS('ТРЗ по шагам'!$I$2:$I$60,'ТРЗ по шагам'!$C$2:$C$60,A9)</f>
        <v>3</v>
      </c>
      <c r="D9" s="10" t="n">
        <f aca="false">SUMIFS('ТРЗ по шагам'!$K$2:$K$60,'ТРЗ по шагам'!$C$2:$C$60,A9)</f>
        <v>42</v>
      </c>
      <c r="E9" s="6" t="n">
        <f aca="false">D9/H_FTE</f>
        <v>0.0265688259109312</v>
      </c>
      <c r="F9" s="11" t="n">
        <v>1</v>
      </c>
      <c r="G9" s="6" t="n">
        <f aca="false">F9-E9</f>
        <v>0.973431174089069</v>
      </c>
      <c r="H9" s="3"/>
      <c r="I9" s="12" t="str">
        <f aca="false">IF(H9="","",D9*H9)</f>
        <v/>
      </c>
      <c r="J9" s="12" t="str">
        <f aca="false">IF(H9="","",F9*H_FULL*H9)</f>
        <v/>
      </c>
      <c r="K9" s="12" t="str">
        <f aca="false">IF(H9="","",J9-I9)</f>
        <v/>
      </c>
    </row>
    <row r="10" customFormat="false" ht="15" hidden="false" customHeight="false" outlineLevel="0" collapsed="false">
      <c r="A10" s="2" t="s">
        <v>59</v>
      </c>
      <c r="B10" s="2" t="s">
        <v>60</v>
      </c>
      <c r="C10" s="10" t="n">
        <f aca="false">SUMIFS('ТРЗ по шагам'!$I$2:$I$60,'ТРЗ по шагам'!$C$2:$C$60,A10)</f>
        <v>37</v>
      </c>
      <c r="D10" s="10" t="n">
        <f aca="false">SUMIFS('ТРЗ по шагам'!$K$2:$K$60,'ТРЗ по шагам'!$C$2:$C$60,A10)</f>
        <v>490</v>
      </c>
      <c r="E10" s="6" t="n">
        <f aca="false">D10/H_FTE</f>
        <v>0.30996963562753</v>
      </c>
      <c r="F10" s="11" t="n">
        <v>1</v>
      </c>
      <c r="G10" s="6" t="n">
        <f aca="false">F10-E10</f>
        <v>0.69003036437247</v>
      </c>
      <c r="H10" s="3"/>
      <c r="I10" s="12" t="str">
        <f aca="false">IF(H10="","",D10*H10)</f>
        <v/>
      </c>
      <c r="J10" s="12" t="str">
        <f aca="false">IF(H10="","",F10*H_FULL*H10)</f>
        <v/>
      </c>
      <c r="K10" s="12" t="str">
        <f aca="false">IF(H10="","",J10-I10)</f>
        <v/>
      </c>
    </row>
    <row r="11" customFormat="false" ht="15" hidden="false" customHeight="false" outlineLevel="0" collapsed="false">
      <c r="A11" s="2" t="s">
        <v>125</v>
      </c>
      <c r="B11" s="2" t="s">
        <v>126</v>
      </c>
      <c r="C11" s="10" t="n">
        <f aca="false">SUMIFS('ТРЗ по шагам'!$I$2:$I$60,'ТРЗ по шагам'!$C$2:$C$60,A11)</f>
        <v>6.5</v>
      </c>
      <c r="D11" s="10" t="n">
        <f aca="false">SUMIFS('ТРЗ по шагам'!$K$2:$K$60,'ТРЗ по шагам'!$C$2:$C$60,A11)</f>
        <v>87</v>
      </c>
      <c r="E11" s="6" t="n">
        <f aca="false">D11/H_FTE</f>
        <v>0.0550354251012146</v>
      </c>
      <c r="F11" s="11" t="n">
        <v>1</v>
      </c>
      <c r="G11" s="6" t="n">
        <f aca="false">F11-E11</f>
        <v>0.944964574898785</v>
      </c>
      <c r="H11" s="3"/>
      <c r="I11" s="12" t="str">
        <f aca="false">IF(H11="","",D11*H11)</f>
        <v/>
      </c>
      <c r="J11" s="12" t="str">
        <f aca="false">IF(H11="","",F11*H_FULL*H11)</f>
        <v/>
      </c>
      <c r="K11" s="12" t="str">
        <f aca="false">IF(H11="","",J11-I11)</f>
        <v/>
      </c>
    </row>
    <row r="12" customFormat="false" ht="15" hidden="false" customHeight="false" outlineLevel="0" collapsed="false">
      <c r="A12" s="2" t="s">
        <v>113</v>
      </c>
      <c r="B12" s="2" t="s">
        <v>114</v>
      </c>
      <c r="C12" s="10" t="n">
        <f aca="false">SUMIFS('ТРЗ по шагам'!$I$2:$I$60,'ТРЗ по шагам'!$C$2:$C$60,A12)</f>
        <v>37</v>
      </c>
      <c r="D12" s="10" t="n">
        <f aca="false">SUMIFS('ТРЗ по шагам'!$K$2:$K$60,'ТРЗ по шагам'!$C$2:$C$60,A12)</f>
        <v>478</v>
      </c>
      <c r="E12" s="6" t="n">
        <f aca="false">D12/H_FTE</f>
        <v>0.302378542510121</v>
      </c>
      <c r="F12" s="11" t="n">
        <v>1</v>
      </c>
      <c r="G12" s="6" t="n">
        <f aca="false">F12-E12</f>
        <v>0.697621457489879</v>
      </c>
      <c r="H12" s="3"/>
      <c r="I12" s="12" t="str">
        <f aca="false">IF(H12="","",D12*H12)</f>
        <v/>
      </c>
      <c r="J12" s="12" t="str">
        <f aca="false">IF(H12="","",F12*H_FULL*H12)</f>
        <v/>
      </c>
      <c r="K12" s="12" t="str">
        <f aca="false">IF(H12="","",J12-I12)</f>
        <v/>
      </c>
    </row>
    <row r="13" customFormat="false" ht="15" hidden="false" customHeight="false" outlineLevel="0" collapsed="false">
      <c r="A13" s="2" t="s">
        <v>105</v>
      </c>
      <c r="B13" s="2" t="s">
        <v>106</v>
      </c>
      <c r="C13" s="10" t="n">
        <f aca="false">SUMIFS('ТРЗ по шагам'!$I$2:$I$60,'ТРЗ по шагам'!$C$2:$C$60,A13)</f>
        <v>11.5</v>
      </c>
      <c r="D13" s="10" t="n">
        <f aca="false">SUMIFS('ТРЗ по шагам'!$K$2:$K$60,'ТРЗ по шагам'!$C$2:$C$60,A13)</f>
        <v>149</v>
      </c>
      <c r="E13" s="6" t="n">
        <f aca="false">D13/H_FTE</f>
        <v>0.0942560728744939</v>
      </c>
      <c r="F13" s="11" t="n">
        <v>1</v>
      </c>
      <c r="G13" s="6" t="n">
        <f aca="false">F13-E13</f>
        <v>0.905743927125506</v>
      </c>
      <c r="H13" s="3"/>
      <c r="I13" s="12" t="str">
        <f aca="false">IF(H13="","",D13*H13)</f>
        <v/>
      </c>
      <c r="J13" s="12" t="str">
        <f aca="false">IF(H13="","",F13*H_FULL*H13)</f>
        <v/>
      </c>
      <c r="K13" s="12" t="str">
        <f aca="false">IF(H13="","",J13-I13)</f>
        <v/>
      </c>
    </row>
    <row r="14" customFormat="false" ht="15" hidden="false" customHeight="false" outlineLevel="0" collapsed="false">
      <c r="A14" s="2" t="s">
        <v>109</v>
      </c>
      <c r="B14" s="2" t="s">
        <v>110</v>
      </c>
      <c r="C14" s="10" t="n">
        <f aca="false">SUMIFS('ТРЗ по шагам'!$I$2:$I$60,'ТРЗ по шагам'!$C$2:$C$60,A14)</f>
        <v>11.5</v>
      </c>
      <c r="D14" s="10" t="n">
        <f aca="false">SUMIFS('ТРЗ по шагам'!$K$2:$K$60,'ТРЗ по шагам'!$C$2:$C$60,A14)</f>
        <v>149</v>
      </c>
      <c r="E14" s="6" t="n">
        <f aca="false">D14/H_FTE</f>
        <v>0.0942560728744939</v>
      </c>
      <c r="F14" s="11" t="n">
        <v>1</v>
      </c>
      <c r="G14" s="6" t="n">
        <f aca="false">F14-E14</f>
        <v>0.905743927125506</v>
      </c>
      <c r="H14" s="3"/>
      <c r="I14" s="12" t="str">
        <f aca="false">IF(H14="","",D14*H14)</f>
        <v/>
      </c>
      <c r="J14" s="12" t="str">
        <f aca="false">IF(H14="","",F14*H_FULL*H14)</f>
        <v/>
      </c>
      <c r="K14" s="12" t="str">
        <f aca="false">IF(H14="","",J14-I14)</f>
        <v/>
      </c>
    </row>
    <row r="15" customFormat="false" ht="15" hidden="false" customHeight="false" outlineLevel="0" collapsed="false">
      <c r="A15" s="2"/>
      <c r="B15" s="8" t="s">
        <v>137</v>
      </c>
      <c r="C15" s="13" t="n">
        <f aca="false">SUM(C2:C14)</f>
        <v>635.5</v>
      </c>
      <c r="D15" s="13" t="n">
        <f aca="false">SUM(D2:D14)</f>
        <v>8123.4</v>
      </c>
      <c r="E15" s="14" t="n">
        <f aca="false">SUM(E2:E14)</f>
        <v>5.13879048582996</v>
      </c>
      <c r="F15" s="14" t="n">
        <f aca="false">SUM(F2:F14)</f>
        <v>13</v>
      </c>
      <c r="G15" s="14" t="n">
        <f aca="false">SUM(G2:G14)</f>
        <v>7.86120951417004</v>
      </c>
      <c r="H15" s="2"/>
      <c r="I15" s="15" t="n">
        <f aca="false">SUM(I2:I14)</f>
        <v>0</v>
      </c>
      <c r="J15" s="15" t="n">
        <f aca="false">SUM(J2:J14)</f>
        <v>0</v>
      </c>
      <c r="K15" s="15" t="n">
        <f aca="false">SUM(K2:K14)</f>
        <v>0</v>
      </c>
    </row>
    <row r="17" customFormat="false" ht="15" hidden="false" customHeight="false" outlineLevel="0" collapsed="false">
      <c r="A17" s="5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7" min="3" style="0" width="12"/>
  </cols>
  <sheetData>
    <row r="1" customFormat="false" ht="33.75" hidden="false" customHeight="true" outlineLevel="0" collapsed="false">
      <c r="A1" s="1" t="s">
        <v>27</v>
      </c>
      <c r="B1" s="1" t="s">
        <v>28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</row>
    <row r="2" customFormat="false" ht="15" hidden="false" customHeight="false" outlineLevel="0" collapsed="false">
      <c r="A2" s="5" t="s">
        <v>151</v>
      </c>
      <c r="C2" s="16" t="n">
        <v>5</v>
      </c>
      <c r="D2" s="16" t="n">
        <v>10</v>
      </c>
      <c r="E2" s="16" t="n">
        <v>15</v>
      </c>
      <c r="F2" s="16" t="n">
        <v>20</v>
      </c>
      <c r="G2" s="16" t="n">
        <v>25</v>
      </c>
    </row>
    <row r="3" customFormat="false" ht="15" hidden="false" customHeight="false" outlineLevel="0" collapsed="false">
      <c r="A3" s="2" t="s">
        <v>38</v>
      </c>
      <c r="B3" s="2" t="s">
        <v>39</v>
      </c>
      <c r="C3" s="6" t="n">
        <f aca="false">((SUMPRODUCT(('ТРЗ по шагам'!$C$2:$C$60=$A3)*'ТРЗ по шагам'!$E$2:$E$60*'ТРЗ по шагам'!$H$2:$H$60)+SUMPRODUCT(('ТРЗ по шагам'!$C$2:$C$60=$A3)*'ТРЗ по шагам'!$F$2:$F$60*'ТРЗ по шагам'!$H$2:$H$60)*C$2)*REL_YEAR+(SUMPRODUCT(('ТРЗ по шагам'!$C$2:$C$60=$A3)*'ТРЗ по шагам'!$E$2:$E$60*'ТРЗ по шагам'!$H$2:$H$60)*HF_F+SUMPRODUCT(('ТРЗ по шагам'!$C$2:$C$60=$A3)*'ТРЗ по шагам'!$F$2:$F$60*'ТРЗ по шагам'!$H$2:$H$60))*HF_YEAR)/H_FTE</f>
        <v>0.391194331983806</v>
      </c>
      <c r="D3" s="6" t="n">
        <f aca="false">((SUMPRODUCT(('ТРЗ по шагам'!$C$2:$C$60=$A3)*'ТРЗ по шагам'!$E$2:$E$60*'ТРЗ по шагам'!$H$2:$H$60)+SUMPRODUCT(('ТРЗ по шагам'!$C$2:$C$60=$A3)*'ТРЗ по шагам'!$F$2:$F$60*'ТРЗ по шагам'!$H$2:$H$60)*D$2)*REL_YEAR+(SUMPRODUCT(('ТРЗ по шагам'!$C$2:$C$60=$A3)*'ТРЗ по шагам'!$E$2:$E$60*'ТРЗ по шагам'!$H$2:$H$60)*HF_F+SUMPRODUCT(('ТРЗ по шагам'!$C$2:$C$60=$A3)*'ТРЗ по шагам'!$F$2:$F$60*'ТРЗ по шагам'!$H$2:$H$60))*HF_YEAR)/H_FTE</f>
        <v>0.442434210526316</v>
      </c>
      <c r="E3" s="6" t="n">
        <f aca="false">((SUMPRODUCT(('ТРЗ по шагам'!$C$2:$C$60=$A3)*'ТРЗ по шагам'!$E$2:$E$60*'ТРЗ по шагам'!$H$2:$H$60)+SUMPRODUCT(('ТРЗ по шагам'!$C$2:$C$60=$A3)*'ТРЗ по шагам'!$F$2:$F$60*'ТРЗ по шагам'!$H$2:$H$60)*E$2)*REL_YEAR+(SUMPRODUCT(('ТРЗ по шагам'!$C$2:$C$60=$A3)*'ТРЗ по шагам'!$E$2:$E$60*'ТРЗ по шагам'!$H$2:$H$60)*HF_F+SUMPRODUCT(('ТРЗ по шагам'!$C$2:$C$60=$A3)*'ТРЗ по шагам'!$F$2:$F$60*'ТРЗ по шагам'!$H$2:$H$60))*HF_YEAR)/H_FTE</f>
        <v>0.493674089068826</v>
      </c>
      <c r="F3" s="6" t="n">
        <f aca="false">((SUMPRODUCT(('ТРЗ по шагам'!$C$2:$C$60=$A3)*'ТРЗ по шагам'!$E$2:$E$60*'ТРЗ по шагам'!$H$2:$H$60)+SUMPRODUCT(('ТРЗ по шагам'!$C$2:$C$60=$A3)*'ТРЗ по шагам'!$F$2:$F$60*'ТРЗ по шагам'!$H$2:$H$60)*F$2)*REL_YEAR+(SUMPRODUCT(('ТРЗ по шагам'!$C$2:$C$60=$A3)*'ТРЗ по шагам'!$E$2:$E$60*'ТРЗ по шагам'!$H$2:$H$60)*HF_F+SUMPRODUCT(('ТРЗ по шагам'!$C$2:$C$60=$A3)*'ТРЗ по шагам'!$F$2:$F$60*'ТРЗ по шагам'!$H$2:$H$60))*HF_YEAR)/H_FTE</f>
        <v>0.544913967611336</v>
      </c>
      <c r="G3" s="6" t="n">
        <f aca="false">((SUMPRODUCT(('ТРЗ по шагам'!$C$2:$C$60=$A3)*'ТРЗ по шагам'!$E$2:$E$60*'ТРЗ по шагам'!$H$2:$H$60)+SUMPRODUCT(('ТРЗ по шагам'!$C$2:$C$60=$A3)*'ТРЗ по шагам'!$F$2:$F$60*'ТРЗ по шагам'!$H$2:$H$60)*G$2)*REL_YEAR+(SUMPRODUCT(('ТРЗ по шагам'!$C$2:$C$60=$A3)*'ТРЗ по шагам'!$E$2:$E$60*'ТРЗ по шагам'!$H$2:$H$60)*HF_F+SUMPRODUCT(('ТРЗ по шагам'!$C$2:$C$60=$A3)*'ТРЗ по шагам'!$F$2:$F$60*'ТРЗ по шагам'!$H$2:$H$60))*HF_YEAR)/H_FTE</f>
        <v>0.596153846153846</v>
      </c>
    </row>
    <row r="4" customFormat="false" ht="15" hidden="false" customHeight="false" outlineLevel="0" collapsed="false">
      <c r="A4" s="2" t="s">
        <v>43</v>
      </c>
      <c r="B4" s="2" t="s">
        <v>44</v>
      </c>
      <c r="C4" s="6" t="n">
        <f aca="false">((SUMPRODUCT(('ТРЗ по шагам'!$C$2:$C$60=$A4)*'ТРЗ по шагам'!$E$2:$E$60*'ТРЗ по шагам'!$H$2:$H$60)+SUMPRODUCT(('ТРЗ по шагам'!$C$2:$C$60=$A4)*'ТРЗ по шагам'!$F$2:$F$60*'ТРЗ по шагам'!$H$2:$H$60)*C$2)*REL_YEAR+(SUMPRODUCT(('ТРЗ по шагам'!$C$2:$C$60=$A4)*'ТРЗ по шагам'!$E$2:$E$60*'ТРЗ по шагам'!$H$2:$H$60)*HF_F+SUMPRODUCT(('ТРЗ по шагам'!$C$2:$C$60=$A4)*'ТРЗ по шагам'!$F$2:$F$60*'ТРЗ по шагам'!$H$2:$H$60))*HF_YEAR)/H_FTE</f>
        <v>0.373861336032389</v>
      </c>
      <c r="D4" s="6" t="n">
        <f aca="false">((SUMPRODUCT(('ТРЗ по шагам'!$C$2:$C$60=$A4)*'ТРЗ по шагам'!$E$2:$E$60*'ТРЗ по шагам'!$H$2:$H$60)+SUMPRODUCT(('ТРЗ по шагам'!$C$2:$C$60=$A4)*'ТРЗ по шагам'!$F$2:$F$60*'ТРЗ по шагам'!$H$2:$H$60)*D$2)*REL_YEAR+(SUMPRODUCT(('ТРЗ по шагам'!$C$2:$C$60=$A4)*'ТРЗ по шагам'!$E$2:$E$60*'ТРЗ по шагам'!$H$2:$H$60)*HF_F+SUMPRODUCT(('ТРЗ по шагам'!$C$2:$C$60=$A4)*'ТРЗ по шагам'!$F$2:$F$60*'ТРЗ по шагам'!$H$2:$H$60))*HF_YEAR)/H_FTE</f>
        <v>0.487727732793522</v>
      </c>
      <c r="E4" s="6" t="n">
        <f aca="false">((SUMPRODUCT(('ТРЗ по шагам'!$C$2:$C$60=$A4)*'ТРЗ по шагам'!$E$2:$E$60*'ТРЗ по шагам'!$H$2:$H$60)+SUMPRODUCT(('ТРЗ по шагам'!$C$2:$C$60=$A4)*'ТРЗ по шагам'!$F$2:$F$60*'ТРЗ по шагам'!$H$2:$H$60)*E$2)*REL_YEAR+(SUMPRODUCT(('ТРЗ по шагам'!$C$2:$C$60=$A4)*'ТРЗ по шагам'!$E$2:$E$60*'ТРЗ по шагам'!$H$2:$H$60)*HF_F+SUMPRODUCT(('ТРЗ по шагам'!$C$2:$C$60=$A4)*'ТРЗ по шагам'!$F$2:$F$60*'ТРЗ по шагам'!$H$2:$H$60))*HF_YEAR)/H_FTE</f>
        <v>0.601594129554656</v>
      </c>
      <c r="F4" s="6" t="n">
        <f aca="false">((SUMPRODUCT(('ТРЗ по шагам'!$C$2:$C$60=$A4)*'ТРЗ по шагам'!$E$2:$E$60*'ТРЗ по шагам'!$H$2:$H$60)+SUMPRODUCT(('ТРЗ по шагам'!$C$2:$C$60=$A4)*'ТРЗ по шагам'!$F$2:$F$60*'ТРЗ по шагам'!$H$2:$H$60)*F$2)*REL_YEAR+(SUMPRODUCT(('ТРЗ по шагам'!$C$2:$C$60=$A4)*'ТРЗ по шагам'!$E$2:$E$60*'ТРЗ по шагам'!$H$2:$H$60)*HF_F+SUMPRODUCT(('ТРЗ по шагам'!$C$2:$C$60=$A4)*'ТРЗ по шагам'!$F$2:$F$60*'ТРЗ по шагам'!$H$2:$H$60))*HF_YEAR)/H_FTE</f>
        <v>0.715460526315789</v>
      </c>
      <c r="G4" s="6" t="n">
        <f aca="false">((SUMPRODUCT(('ТРЗ по шагам'!$C$2:$C$60=$A4)*'ТРЗ по шагам'!$E$2:$E$60*'ТРЗ по шагам'!$H$2:$H$60)+SUMPRODUCT(('ТРЗ по шагам'!$C$2:$C$60=$A4)*'ТРЗ по шагам'!$F$2:$F$60*'ТРЗ по шагам'!$H$2:$H$60)*G$2)*REL_YEAR+(SUMPRODUCT(('ТРЗ по шагам'!$C$2:$C$60=$A4)*'ТРЗ по шагам'!$E$2:$E$60*'ТРЗ по шагам'!$H$2:$H$60)*HF_F+SUMPRODUCT(('ТРЗ по шагам'!$C$2:$C$60=$A4)*'ТРЗ по шагам'!$F$2:$F$60*'ТРЗ по шагам'!$H$2:$H$60))*HF_YEAR)/H_FTE</f>
        <v>0.829326923076923</v>
      </c>
    </row>
    <row r="5" customFormat="false" ht="28.35" hidden="false" customHeight="false" outlineLevel="0" collapsed="false">
      <c r="A5" s="2" t="s">
        <v>45</v>
      </c>
      <c r="B5" s="2" t="s">
        <v>46</v>
      </c>
      <c r="C5" s="6" t="n">
        <f aca="false">((SUMPRODUCT(('ТРЗ по шагам'!$C$2:$C$60=$A5)*'ТРЗ по шагам'!$E$2:$E$60*'ТРЗ по шагам'!$H$2:$H$60)+SUMPRODUCT(('ТРЗ по шагам'!$C$2:$C$60=$A5)*'ТРЗ по шагам'!$F$2:$F$60*'ТРЗ по шагам'!$H$2:$H$60)*C$2)*REL_YEAR+(SUMPRODUCT(('ТРЗ по шагам'!$C$2:$C$60=$A5)*'ТРЗ по шагам'!$E$2:$E$60*'ТРЗ по шагам'!$H$2:$H$60)*HF_F+SUMPRODUCT(('ТРЗ по шагам'!$C$2:$C$60=$A5)*'ТРЗ по шагам'!$F$2:$F$60*'ТРЗ по шагам'!$H$2:$H$60))*HF_YEAR)/H_FTE</f>
        <v>0.966599190283401</v>
      </c>
      <c r="D5" s="6" t="n">
        <f aca="false">((SUMPRODUCT(('ТРЗ по шагам'!$C$2:$C$60=$A5)*'ТРЗ по шагам'!$E$2:$E$60*'ТРЗ по шагам'!$H$2:$H$60)+SUMPRODUCT(('ТРЗ по шагам'!$C$2:$C$60=$A5)*'ТРЗ по шагам'!$F$2:$F$60*'ТРЗ по шагам'!$H$2:$H$60)*D$2)*REL_YEAR+(SUMPRODUCT(('ТРЗ по шагам'!$C$2:$C$60=$A5)*'ТРЗ по шагам'!$E$2:$E$60*'ТРЗ по шагам'!$H$2:$H$60)*HF_F+SUMPRODUCT(('ТРЗ по шагам'!$C$2:$C$60=$A5)*'ТРЗ по шагам'!$F$2:$F$60*'ТРЗ по шагам'!$H$2:$H$60))*HF_YEAR)/H_FTE</f>
        <v>1.83957489878542</v>
      </c>
      <c r="E5" s="6" t="n">
        <f aca="false">((SUMPRODUCT(('ТРЗ по шагам'!$C$2:$C$60=$A5)*'ТРЗ по шагам'!$E$2:$E$60*'ТРЗ по шагам'!$H$2:$H$60)+SUMPRODUCT(('ТРЗ по шагам'!$C$2:$C$60=$A5)*'ТРЗ по шагам'!$F$2:$F$60*'ТРЗ по шагам'!$H$2:$H$60)*E$2)*REL_YEAR+(SUMPRODUCT(('ТРЗ по шагам'!$C$2:$C$60=$A5)*'ТРЗ по шагам'!$E$2:$E$60*'ТРЗ по шагам'!$H$2:$H$60)*HF_F+SUMPRODUCT(('ТРЗ по шагам'!$C$2:$C$60=$A5)*'ТРЗ по шагам'!$F$2:$F$60*'ТРЗ по шагам'!$H$2:$H$60))*HF_YEAR)/H_FTE</f>
        <v>2.71255060728745</v>
      </c>
      <c r="F5" s="6" t="n">
        <f aca="false">((SUMPRODUCT(('ТРЗ по шагам'!$C$2:$C$60=$A5)*'ТРЗ по шагам'!$E$2:$E$60*'ТРЗ по шагам'!$H$2:$H$60)+SUMPRODUCT(('ТРЗ по шагам'!$C$2:$C$60=$A5)*'ТРЗ по шагам'!$F$2:$F$60*'ТРЗ по шагам'!$H$2:$H$60)*F$2)*REL_YEAR+(SUMPRODUCT(('ТРЗ по шагам'!$C$2:$C$60=$A5)*'ТРЗ по шагам'!$E$2:$E$60*'ТРЗ по шагам'!$H$2:$H$60)*HF_F+SUMPRODUCT(('ТРЗ по шагам'!$C$2:$C$60=$A5)*'ТРЗ по шагам'!$F$2:$F$60*'ТРЗ по шагам'!$H$2:$H$60))*HF_YEAR)/H_FTE</f>
        <v>3.58552631578947</v>
      </c>
      <c r="G5" s="6" t="n">
        <f aca="false">((SUMPRODUCT(('ТРЗ по шагам'!$C$2:$C$60=$A5)*'ТРЗ по шагам'!$E$2:$E$60*'ТРЗ по шагам'!$H$2:$H$60)+SUMPRODUCT(('ТРЗ по шагам'!$C$2:$C$60=$A5)*'ТРЗ по шагам'!$F$2:$F$60*'ТРЗ по шагам'!$H$2:$H$60)*G$2)*REL_YEAR+(SUMPRODUCT(('ТРЗ по шагам'!$C$2:$C$60=$A5)*'ТРЗ по шагам'!$E$2:$E$60*'ТРЗ по шагам'!$H$2:$H$60)*HF_F+SUMPRODUCT(('ТРЗ по шагам'!$C$2:$C$60=$A5)*'ТРЗ по шагам'!$F$2:$F$60*'ТРЗ по шагам'!$H$2:$H$60))*HF_YEAR)/H_FTE</f>
        <v>4.4585020242915</v>
      </c>
    </row>
    <row r="6" customFormat="false" ht="15" hidden="false" customHeight="false" outlineLevel="0" collapsed="false">
      <c r="A6" s="2" t="s">
        <v>97</v>
      </c>
      <c r="B6" s="2" t="s">
        <v>98</v>
      </c>
      <c r="C6" s="6" t="n">
        <f aca="false">((SUMPRODUCT(('ТРЗ по шагам'!$C$2:$C$60=$A6)*'ТРЗ по шагам'!$E$2:$E$60*'ТРЗ по шагам'!$H$2:$H$60)+SUMPRODUCT(('ТРЗ по шагам'!$C$2:$C$60=$A6)*'ТРЗ по шагам'!$F$2:$F$60*'ТРЗ по шагам'!$H$2:$H$60)*C$2)*REL_YEAR+(SUMPRODUCT(('ТРЗ по шагам'!$C$2:$C$60=$A6)*'ТРЗ по шагам'!$E$2:$E$60*'ТРЗ по шагам'!$H$2:$H$60)*HF_F+SUMPRODUCT(('ТРЗ по шагам'!$C$2:$C$60=$A6)*'ТРЗ по шагам'!$F$2:$F$60*'ТРЗ по шагам'!$H$2:$H$60))*HF_YEAR)/H_FTE</f>
        <v>0.0910931174089069</v>
      </c>
      <c r="D6" s="6" t="n">
        <f aca="false">((SUMPRODUCT(('ТРЗ по шагам'!$C$2:$C$60=$A6)*'ТРЗ по шагам'!$E$2:$E$60*'ТРЗ по шагам'!$H$2:$H$60)+SUMPRODUCT(('ТРЗ по шагам'!$C$2:$C$60=$A6)*'ТРЗ по шагам'!$F$2:$F$60*'ТРЗ по шагам'!$H$2:$H$60)*D$2)*REL_YEAR+(SUMPRODUCT(('ТРЗ по шагам'!$C$2:$C$60=$A6)*'ТРЗ по шагам'!$E$2:$E$60*'ТРЗ по шагам'!$H$2:$H$60)*HF_F+SUMPRODUCT(('ТРЗ по шагам'!$C$2:$C$60=$A6)*'ТРЗ по шагам'!$F$2:$F$60*'ТРЗ по шагам'!$H$2:$H$60))*HF_YEAR)/H_FTE</f>
        <v>0.110070850202429</v>
      </c>
      <c r="E6" s="6" t="n">
        <f aca="false">((SUMPRODUCT(('ТРЗ по шагам'!$C$2:$C$60=$A6)*'ТРЗ по шагам'!$E$2:$E$60*'ТРЗ по шагам'!$H$2:$H$60)+SUMPRODUCT(('ТРЗ по шагам'!$C$2:$C$60=$A6)*'ТРЗ по шагам'!$F$2:$F$60*'ТРЗ по шагам'!$H$2:$H$60)*E$2)*REL_YEAR+(SUMPRODUCT(('ТРЗ по шагам'!$C$2:$C$60=$A6)*'ТРЗ по шагам'!$E$2:$E$60*'ТРЗ по шагам'!$H$2:$H$60)*HF_F+SUMPRODUCT(('ТРЗ по шагам'!$C$2:$C$60=$A6)*'ТРЗ по шагам'!$F$2:$F$60*'ТРЗ по шагам'!$H$2:$H$60))*HF_YEAR)/H_FTE</f>
        <v>0.129048582995951</v>
      </c>
      <c r="F6" s="6" t="n">
        <f aca="false">((SUMPRODUCT(('ТРЗ по шагам'!$C$2:$C$60=$A6)*'ТРЗ по шагам'!$E$2:$E$60*'ТРЗ по шагам'!$H$2:$H$60)+SUMPRODUCT(('ТРЗ по шагам'!$C$2:$C$60=$A6)*'ТРЗ по шагам'!$F$2:$F$60*'ТРЗ по шагам'!$H$2:$H$60)*F$2)*REL_YEAR+(SUMPRODUCT(('ТРЗ по шагам'!$C$2:$C$60=$A6)*'ТРЗ по шагам'!$E$2:$E$60*'ТРЗ по шагам'!$H$2:$H$60)*HF_F+SUMPRODUCT(('ТРЗ по шагам'!$C$2:$C$60=$A6)*'ТРЗ по шагам'!$F$2:$F$60*'ТРЗ по шагам'!$H$2:$H$60))*HF_YEAR)/H_FTE</f>
        <v>0.148026315789474</v>
      </c>
      <c r="G6" s="6" t="n">
        <f aca="false">((SUMPRODUCT(('ТРЗ по шагам'!$C$2:$C$60=$A6)*'ТРЗ по шагам'!$E$2:$E$60*'ТРЗ по шагам'!$H$2:$H$60)+SUMPRODUCT(('ТРЗ по шагам'!$C$2:$C$60=$A6)*'ТРЗ по шагам'!$F$2:$F$60*'ТРЗ по шагам'!$H$2:$H$60)*G$2)*REL_YEAR+(SUMPRODUCT(('ТРЗ по шагам'!$C$2:$C$60=$A6)*'ТРЗ по шагам'!$E$2:$E$60*'ТРЗ по шагам'!$H$2:$H$60)*HF_F+SUMPRODUCT(('ТРЗ по шагам'!$C$2:$C$60=$A6)*'ТРЗ по шагам'!$F$2:$F$60*'ТРЗ по шагам'!$H$2:$H$60))*HF_YEAR)/H_FTE</f>
        <v>0.167004048582996</v>
      </c>
    </row>
    <row r="7" customFormat="false" ht="15" hidden="false" customHeight="false" outlineLevel="0" collapsed="false">
      <c r="A7" s="2" t="s">
        <v>68</v>
      </c>
      <c r="B7" s="2" t="s">
        <v>69</v>
      </c>
      <c r="C7" s="6" t="n">
        <f aca="false">((SUMPRODUCT(('ТРЗ по шагам'!$C$2:$C$60=$A7)*'ТРЗ по шагам'!$E$2:$E$60*'ТРЗ по шагам'!$H$2:$H$60)+SUMPRODUCT(('ТРЗ по шагам'!$C$2:$C$60=$A7)*'ТРЗ по шагам'!$F$2:$F$60*'ТРЗ по шагам'!$H$2:$H$60)*C$2)*REL_YEAR+(SUMPRODUCT(('ТРЗ по шагам'!$C$2:$C$60=$A7)*'ТРЗ по шагам'!$E$2:$E$60*'ТРЗ по шагам'!$H$2:$H$60)*HF_F+SUMPRODUCT(('ТРЗ по шагам'!$C$2:$C$60=$A7)*'ТРЗ по шагам'!$F$2:$F$60*'ТРЗ по шагам'!$H$2:$H$60))*HF_YEAR)/H_FTE</f>
        <v>0.781882591093117</v>
      </c>
      <c r="D7" s="6" t="n">
        <f aca="false">((SUMPRODUCT(('ТРЗ по шагам'!$C$2:$C$60=$A7)*'ТРЗ по шагам'!$E$2:$E$60*'ТРЗ по шагам'!$H$2:$H$60)+SUMPRODUCT(('ТРЗ по шагам'!$C$2:$C$60=$A7)*'ТРЗ по шагам'!$F$2:$F$60*'ТРЗ по шагам'!$H$2:$H$60)*D$2)*REL_YEAR+(SUMPRODUCT(('ТРЗ по шагам'!$C$2:$C$60=$A7)*'ТРЗ по шагам'!$E$2:$E$60*'ТРЗ по шагам'!$H$2:$H$60)*HF_F+SUMPRODUCT(('ТРЗ по шагам'!$C$2:$C$60=$A7)*'ТРЗ по шагам'!$F$2:$F$60*'ТРЗ по шагам'!$H$2:$H$60))*HF_YEAR)/H_FTE</f>
        <v>1.33223684210526</v>
      </c>
      <c r="E7" s="6" t="n">
        <f aca="false">((SUMPRODUCT(('ТРЗ по шагам'!$C$2:$C$60=$A7)*'ТРЗ по шагам'!$E$2:$E$60*'ТРЗ по шагам'!$H$2:$H$60)+SUMPRODUCT(('ТРЗ по шагам'!$C$2:$C$60=$A7)*'ТРЗ по шагам'!$F$2:$F$60*'ТРЗ по шагам'!$H$2:$H$60)*E$2)*REL_YEAR+(SUMPRODUCT(('ТРЗ по шагам'!$C$2:$C$60=$A7)*'ТРЗ по шагам'!$E$2:$E$60*'ТРЗ по шагам'!$H$2:$H$60)*HF_F+SUMPRODUCT(('ТРЗ по шагам'!$C$2:$C$60=$A7)*'ТРЗ по шагам'!$F$2:$F$60*'ТРЗ по шагам'!$H$2:$H$60))*HF_YEAR)/H_FTE</f>
        <v>1.88259109311741</v>
      </c>
      <c r="F7" s="6" t="n">
        <f aca="false">((SUMPRODUCT(('ТРЗ по шагам'!$C$2:$C$60=$A7)*'ТРЗ по шагам'!$E$2:$E$60*'ТРЗ по шагам'!$H$2:$H$60)+SUMPRODUCT(('ТРЗ по шагам'!$C$2:$C$60=$A7)*'ТРЗ по шагам'!$F$2:$F$60*'ТРЗ по шагам'!$H$2:$H$60)*F$2)*REL_YEAR+(SUMPRODUCT(('ТРЗ по шагам'!$C$2:$C$60=$A7)*'ТРЗ по шагам'!$E$2:$E$60*'ТРЗ по шагам'!$H$2:$H$60)*HF_F+SUMPRODUCT(('ТРЗ по шагам'!$C$2:$C$60=$A7)*'ТРЗ по шагам'!$F$2:$F$60*'ТРЗ по шагам'!$H$2:$H$60))*HF_YEAR)/H_FTE</f>
        <v>2.43294534412955</v>
      </c>
      <c r="G7" s="6" t="n">
        <f aca="false">((SUMPRODUCT(('ТРЗ по шагам'!$C$2:$C$60=$A7)*'ТРЗ по шагам'!$E$2:$E$60*'ТРЗ по шагам'!$H$2:$H$60)+SUMPRODUCT(('ТРЗ по шагам'!$C$2:$C$60=$A7)*'ТРЗ по шагам'!$F$2:$F$60*'ТРЗ по шагам'!$H$2:$H$60)*G$2)*REL_YEAR+(SUMPRODUCT(('ТРЗ по шагам'!$C$2:$C$60=$A7)*'ТРЗ по шагам'!$E$2:$E$60*'ТРЗ по шагам'!$H$2:$H$60)*HF_F+SUMPRODUCT(('ТРЗ по шагам'!$C$2:$C$60=$A7)*'ТРЗ по шагам'!$F$2:$F$60*'ТРЗ по шагам'!$H$2:$H$60))*HF_YEAR)/H_FTE</f>
        <v>2.9832995951417</v>
      </c>
    </row>
    <row r="8" customFormat="false" ht="15" hidden="false" customHeight="false" outlineLevel="0" collapsed="false">
      <c r="A8" s="2" t="s">
        <v>70</v>
      </c>
      <c r="B8" s="2" t="s">
        <v>71</v>
      </c>
      <c r="C8" s="6" t="n">
        <f aca="false">((SUMPRODUCT(('ТРЗ по шагам'!$C$2:$C$60=$A8)*'ТРЗ по шагам'!$E$2:$E$60*'ТРЗ по шагам'!$H$2:$H$60)+SUMPRODUCT(('ТРЗ по шагам'!$C$2:$C$60=$A8)*'ТРЗ по шагам'!$F$2:$F$60*'ТРЗ по шагам'!$H$2:$H$60)*C$2)*REL_YEAR+(SUMPRODUCT(('ТРЗ по шагам'!$C$2:$C$60=$A8)*'ТРЗ по шагам'!$E$2:$E$60*'ТРЗ по шагам'!$H$2:$H$60)*HF_F+SUMPRODUCT(('ТРЗ по шагам'!$C$2:$C$60=$A8)*'ТРЗ по шагам'!$F$2:$F$60*'ТРЗ по шагам'!$H$2:$H$60))*HF_YEAR)/H_FTE</f>
        <v>0.0265688259109312</v>
      </c>
      <c r="D8" s="6" t="n">
        <f aca="false">((SUMPRODUCT(('ТРЗ по шагам'!$C$2:$C$60=$A8)*'ТРЗ по шагам'!$E$2:$E$60*'ТРЗ по шагам'!$H$2:$H$60)+SUMPRODUCT(('ТРЗ по шагам'!$C$2:$C$60=$A8)*'ТРЗ по шагам'!$F$2:$F$60*'ТРЗ по шагам'!$H$2:$H$60)*D$2)*REL_YEAR+(SUMPRODUCT(('ТРЗ по шагам'!$C$2:$C$60=$A8)*'ТРЗ по шагам'!$E$2:$E$60*'ТРЗ по шагам'!$H$2:$H$60)*HF_F+SUMPRODUCT(('ТРЗ по шагам'!$C$2:$C$60=$A8)*'ТРЗ по шагам'!$F$2:$F$60*'ТРЗ по шагам'!$H$2:$H$60))*HF_YEAR)/H_FTE</f>
        <v>0.0265688259109312</v>
      </c>
      <c r="E8" s="6" t="n">
        <f aca="false">((SUMPRODUCT(('ТРЗ по шагам'!$C$2:$C$60=$A8)*'ТРЗ по шагам'!$E$2:$E$60*'ТРЗ по шагам'!$H$2:$H$60)+SUMPRODUCT(('ТРЗ по шагам'!$C$2:$C$60=$A8)*'ТРЗ по шагам'!$F$2:$F$60*'ТРЗ по шагам'!$H$2:$H$60)*E$2)*REL_YEAR+(SUMPRODUCT(('ТРЗ по шагам'!$C$2:$C$60=$A8)*'ТРЗ по шагам'!$E$2:$E$60*'ТРЗ по шагам'!$H$2:$H$60)*HF_F+SUMPRODUCT(('ТРЗ по шагам'!$C$2:$C$60=$A8)*'ТРЗ по шагам'!$F$2:$F$60*'ТРЗ по шагам'!$H$2:$H$60))*HF_YEAR)/H_FTE</f>
        <v>0.0265688259109312</v>
      </c>
      <c r="F8" s="6" t="n">
        <f aca="false">((SUMPRODUCT(('ТРЗ по шагам'!$C$2:$C$60=$A8)*'ТРЗ по шагам'!$E$2:$E$60*'ТРЗ по шагам'!$H$2:$H$60)+SUMPRODUCT(('ТРЗ по шагам'!$C$2:$C$60=$A8)*'ТРЗ по шагам'!$F$2:$F$60*'ТРЗ по шагам'!$H$2:$H$60)*F$2)*REL_YEAR+(SUMPRODUCT(('ТРЗ по шагам'!$C$2:$C$60=$A8)*'ТРЗ по шагам'!$E$2:$E$60*'ТРЗ по шагам'!$H$2:$H$60)*HF_F+SUMPRODUCT(('ТРЗ по шагам'!$C$2:$C$60=$A8)*'ТРЗ по шагам'!$F$2:$F$60*'ТРЗ по шагам'!$H$2:$H$60))*HF_YEAR)/H_FTE</f>
        <v>0.0265688259109312</v>
      </c>
      <c r="G8" s="6" t="n">
        <f aca="false">((SUMPRODUCT(('ТРЗ по шагам'!$C$2:$C$60=$A8)*'ТРЗ по шагам'!$E$2:$E$60*'ТРЗ по шагам'!$H$2:$H$60)+SUMPRODUCT(('ТРЗ по шагам'!$C$2:$C$60=$A8)*'ТРЗ по шагам'!$F$2:$F$60*'ТРЗ по шагам'!$H$2:$H$60)*G$2)*REL_YEAR+(SUMPRODUCT(('ТРЗ по шагам'!$C$2:$C$60=$A8)*'ТРЗ по шагам'!$E$2:$E$60*'ТРЗ по шагам'!$H$2:$H$60)*HF_F+SUMPRODUCT(('ТРЗ по шагам'!$C$2:$C$60=$A8)*'ТРЗ по шагам'!$F$2:$F$60*'ТРЗ по шагам'!$H$2:$H$60))*HF_YEAR)/H_FTE</f>
        <v>0.0265688259109312</v>
      </c>
    </row>
    <row r="9" customFormat="false" ht="15" hidden="false" customHeight="false" outlineLevel="0" collapsed="false">
      <c r="A9" s="2" t="s">
        <v>86</v>
      </c>
      <c r="B9" s="2" t="s">
        <v>87</v>
      </c>
      <c r="C9" s="6" t="n">
        <f aca="false">((SUMPRODUCT(('ТРЗ по шагам'!$C$2:$C$60=$A9)*'ТРЗ по шагам'!$E$2:$E$60*'ТРЗ по шагам'!$H$2:$H$60)+SUMPRODUCT(('ТРЗ по шагам'!$C$2:$C$60=$A9)*'ТРЗ по шагам'!$F$2:$F$60*'ТРЗ по шагам'!$H$2:$H$60)*C$2)*REL_YEAR+(SUMPRODUCT(('ТРЗ по шагам'!$C$2:$C$60=$A9)*'ТРЗ по шагам'!$E$2:$E$60*'ТРЗ по шагам'!$H$2:$H$60)*HF_F+SUMPRODUCT(('ТРЗ по шагам'!$C$2:$C$60=$A9)*'ТРЗ по шагам'!$F$2:$F$60*'ТРЗ по шагам'!$H$2:$H$60))*HF_YEAR)/H_FTE</f>
        <v>0.0177125506072874</v>
      </c>
      <c r="D9" s="6" t="n">
        <f aca="false">((SUMPRODUCT(('ТРЗ по шагам'!$C$2:$C$60=$A9)*'ТРЗ по шагам'!$E$2:$E$60*'ТРЗ по шагам'!$H$2:$H$60)+SUMPRODUCT(('ТРЗ по шагам'!$C$2:$C$60=$A9)*'ТРЗ по шагам'!$F$2:$F$60*'ТРЗ по шагам'!$H$2:$H$60)*D$2)*REL_YEAR+(SUMPRODUCT(('ТРЗ по шагам'!$C$2:$C$60=$A9)*'ТРЗ по шагам'!$E$2:$E$60*'ТРЗ по шагам'!$H$2:$H$60)*HF_F+SUMPRODUCT(('ТРЗ по шагам'!$C$2:$C$60=$A9)*'ТРЗ по шагам'!$F$2:$F$60*'ТРЗ по шагам'!$H$2:$H$60))*HF_YEAR)/H_FTE</f>
        <v>0.0177125506072874</v>
      </c>
      <c r="E9" s="6" t="n">
        <f aca="false">((SUMPRODUCT(('ТРЗ по шагам'!$C$2:$C$60=$A9)*'ТРЗ по шагам'!$E$2:$E$60*'ТРЗ по шагам'!$H$2:$H$60)+SUMPRODUCT(('ТРЗ по шагам'!$C$2:$C$60=$A9)*'ТРЗ по шагам'!$F$2:$F$60*'ТРЗ по шагам'!$H$2:$H$60)*E$2)*REL_YEAR+(SUMPRODUCT(('ТРЗ по шагам'!$C$2:$C$60=$A9)*'ТРЗ по шагам'!$E$2:$E$60*'ТРЗ по шагам'!$H$2:$H$60)*HF_F+SUMPRODUCT(('ТРЗ по шагам'!$C$2:$C$60=$A9)*'ТРЗ по шагам'!$F$2:$F$60*'ТРЗ по шагам'!$H$2:$H$60))*HF_YEAR)/H_FTE</f>
        <v>0.0177125506072874</v>
      </c>
      <c r="F9" s="6" t="n">
        <f aca="false">((SUMPRODUCT(('ТРЗ по шагам'!$C$2:$C$60=$A9)*'ТРЗ по шагам'!$E$2:$E$60*'ТРЗ по шагам'!$H$2:$H$60)+SUMPRODUCT(('ТРЗ по шагам'!$C$2:$C$60=$A9)*'ТРЗ по шагам'!$F$2:$F$60*'ТРЗ по шагам'!$H$2:$H$60)*F$2)*REL_YEAR+(SUMPRODUCT(('ТРЗ по шагам'!$C$2:$C$60=$A9)*'ТРЗ по шагам'!$E$2:$E$60*'ТРЗ по шагам'!$H$2:$H$60)*HF_F+SUMPRODUCT(('ТРЗ по шагам'!$C$2:$C$60=$A9)*'ТРЗ по шагам'!$F$2:$F$60*'ТРЗ по шагам'!$H$2:$H$60))*HF_YEAR)/H_FTE</f>
        <v>0.0177125506072874</v>
      </c>
      <c r="G9" s="6" t="n">
        <f aca="false">((SUMPRODUCT(('ТРЗ по шагам'!$C$2:$C$60=$A9)*'ТРЗ по шагам'!$E$2:$E$60*'ТРЗ по шагам'!$H$2:$H$60)+SUMPRODUCT(('ТРЗ по шагам'!$C$2:$C$60=$A9)*'ТРЗ по шагам'!$F$2:$F$60*'ТРЗ по шагам'!$H$2:$H$60)*G$2)*REL_YEAR+(SUMPRODUCT(('ТРЗ по шагам'!$C$2:$C$60=$A9)*'ТРЗ по шагам'!$E$2:$E$60*'ТРЗ по шагам'!$H$2:$H$60)*HF_F+SUMPRODUCT(('ТРЗ по шагам'!$C$2:$C$60=$A9)*'ТРЗ по шагам'!$F$2:$F$60*'ТРЗ по шагам'!$H$2:$H$60))*HF_YEAR)/H_FTE</f>
        <v>0.0177125506072874</v>
      </c>
    </row>
    <row r="10" customFormat="false" ht="15" hidden="false" customHeight="false" outlineLevel="0" collapsed="false">
      <c r="A10" s="2" t="s">
        <v>121</v>
      </c>
      <c r="B10" s="2" t="s">
        <v>122</v>
      </c>
      <c r="C10" s="6" t="n">
        <f aca="false">((SUMPRODUCT(('ТРЗ по шагам'!$C$2:$C$60=$A10)*'ТРЗ по шагам'!$E$2:$E$60*'ТРЗ по шагам'!$H$2:$H$60)+SUMPRODUCT(('ТРЗ по шагам'!$C$2:$C$60=$A10)*'ТРЗ по шагам'!$F$2:$F$60*'ТРЗ по шагам'!$H$2:$H$60)*C$2)*REL_YEAR+(SUMPRODUCT(('ТРЗ по шагам'!$C$2:$C$60=$A10)*'ТРЗ по шагам'!$E$2:$E$60*'ТРЗ по шагам'!$H$2:$H$60)*HF_F+SUMPRODUCT(('ТРЗ по шагам'!$C$2:$C$60=$A10)*'ТРЗ по шагам'!$F$2:$F$60*'ТРЗ по шагам'!$H$2:$H$60))*HF_YEAR)/H_FTE</f>
        <v>0.0265688259109312</v>
      </c>
      <c r="D10" s="6" t="n">
        <f aca="false">((SUMPRODUCT(('ТРЗ по шагам'!$C$2:$C$60=$A10)*'ТРЗ по шагам'!$E$2:$E$60*'ТРЗ по шагам'!$H$2:$H$60)+SUMPRODUCT(('ТРЗ по шагам'!$C$2:$C$60=$A10)*'ТРЗ по шагам'!$F$2:$F$60*'ТРЗ по шагам'!$H$2:$H$60)*D$2)*REL_YEAR+(SUMPRODUCT(('ТРЗ по шагам'!$C$2:$C$60=$A10)*'ТРЗ по шагам'!$E$2:$E$60*'ТРЗ по шагам'!$H$2:$H$60)*HF_F+SUMPRODUCT(('ТРЗ по шагам'!$C$2:$C$60=$A10)*'ТРЗ по шагам'!$F$2:$F$60*'ТРЗ по шагам'!$H$2:$H$60))*HF_YEAR)/H_FTE</f>
        <v>0.0265688259109312</v>
      </c>
      <c r="E10" s="6" t="n">
        <f aca="false">((SUMPRODUCT(('ТРЗ по шагам'!$C$2:$C$60=$A10)*'ТРЗ по шагам'!$E$2:$E$60*'ТРЗ по шагам'!$H$2:$H$60)+SUMPRODUCT(('ТРЗ по шагам'!$C$2:$C$60=$A10)*'ТРЗ по шагам'!$F$2:$F$60*'ТРЗ по шагам'!$H$2:$H$60)*E$2)*REL_YEAR+(SUMPRODUCT(('ТРЗ по шагам'!$C$2:$C$60=$A10)*'ТРЗ по шагам'!$E$2:$E$60*'ТРЗ по шагам'!$H$2:$H$60)*HF_F+SUMPRODUCT(('ТРЗ по шагам'!$C$2:$C$60=$A10)*'ТРЗ по шагам'!$F$2:$F$60*'ТРЗ по шагам'!$H$2:$H$60))*HF_YEAR)/H_FTE</f>
        <v>0.0265688259109312</v>
      </c>
      <c r="F10" s="6" t="n">
        <f aca="false">((SUMPRODUCT(('ТРЗ по шагам'!$C$2:$C$60=$A10)*'ТРЗ по шагам'!$E$2:$E$60*'ТРЗ по шагам'!$H$2:$H$60)+SUMPRODUCT(('ТРЗ по шагам'!$C$2:$C$60=$A10)*'ТРЗ по шагам'!$F$2:$F$60*'ТРЗ по шагам'!$H$2:$H$60)*F$2)*REL_YEAR+(SUMPRODUCT(('ТРЗ по шагам'!$C$2:$C$60=$A10)*'ТРЗ по шагам'!$E$2:$E$60*'ТРЗ по шагам'!$H$2:$H$60)*HF_F+SUMPRODUCT(('ТРЗ по шагам'!$C$2:$C$60=$A10)*'ТРЗ по шагам'!$F$2:$F$60*'ТРЗ по шагам'!$H$2:$H$60))*HF_YEAR)/H_FTE</f>
        <v>0.0265688259109312</v>
      </c>
      <c r="G10" s="6" t="n">
        <f aca="false">((SUMPRODUCT(('ТРЗ по шагам'!$C$2:$C$60=$A10)*'ТРЗ по шагам'!$E$2:$E$60*'ТРЗ по шагам'!$H$2:$H$60)+SUMPRODUCT(('ТРЗ по шагам'!$C$2:$C$60=$A10)*'ТРЗ по шагам'!$F$2:$F$60*'ТРЗ по шагам'!$H$2:$H$60)*G$2)*REL_YEAR+(SUMPRODUCT(('ТРЗ по шагам'!$C$2:$C$60=$A10)*'ТРЗ по шагам'!$E$2:$E$60*'ТРЗ по шагам'!$H$2:$H$60)*HF_F+SUMPRODUCT(('ТРЗ по шагам'!$C$2:$C$60=$A10)*'ТРЗ по шагам'!$F$2:$F$60*'ТРЗ по шагам'!$H$2:$H$60))*HF_YEAR)/H_FTE</f>
        <v>0.0265688259109312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6" t="n">
        <f aca="false">((SUMPRODUCT(('ТРЗ по шагам'!$C$2:$C$60=$A11)*'ТРЗ по шагам'!$E$2:$E$60*'ТРЗ по шагам'!$H$2:$H$60)+SUMPRODUCT(('ТРЗ по шагам'!$C$2:$C$60=$A11)*'ТРЗ по шагам'!$F$2:$F$60*'ТРЗ по шагам'!$H$2:$H$60)*C$2)*REL_YEAR+(SUMPRODUCT(('ТРЗ по шагам'!$C$2:$C$60=$A11)*'ТРЗ по шагам'!$E$2:$E$60*'ТРЗ по шагам'!$H$2:$H$60)*HF_F+SUMPRODUCT(('ТРЗ по шагам'!$C$2:$C$60=$A11)*'ТРЗ по шагам'!$F$2:$F$60*'ТРЗ по шагам'!$H$2:$H$60))*HF_YEAR)/H_FTE</f>
        <v>0.243547570850202</v>
      </c>
      <c r="D11" s="6" t="n">
        <f aca="false">((SUMPRODUCT(('ТРЗ по шагам'!$C$2:$C$60=$A11)*'ТРЗ по шагам'!$E$2:$E$60*'ТРЗ по шагам'!$H$2:$H$60)+SUMPRODUCT(('ТРЗ по шагам'!$C$2:$C$60=$A11)*'ТРЗ по шагам'!$F$2:$F$60*'ТРЗ по шагам'!$H$2:$H$60)*D$2)*REL_YEAR+(SUMPRODUCT(('ТРЗ по шагам'!$C$2:$C$60=$A11)*'ТРЗ по шагам'!$E$2:$E$60*'ТРЗ по шагам'!$H$2:$H$60)*HF_F+SUMPRODUCT(('ТРЗ по шагам'!$C$2:$C$60=$A11)*'ТРЗ по шагам'!$F$2:$F$60*'ТРЗ по шагам'!$H$2:$H$60))*HF_YEAR)/H_FTE</f>
        <v>0.30996963562753</v>
      </c>
      <c r="E11" s="6" t="n">
        <f aca="false">((SUMPRODUCT(('ТРЗ по шагам'!$C$2:$C$60=$A11)*'ТРЗ по шагам'!$E$2:$E$60*'ТРЗ по шагам'!$H$2:$H$60)+SUMPRODUCT(('ТРЗ по шагам'!$C$2:$C$60=$A11)*'ТРЗ по шагам'!$F$2:$F$60*'ТРЗ по шагам'!$H$2:$H$60)*E$2)*REL_YEAR+(SUMPRODUCT(('ТРЗ по шагам'!$C$2:$C$60=$A11)*'ТРЗ по шагам'!$E$2:$E$60*'ТРЗ по шагам'!$H$2:$H$60)*HF_F+SUMPRODUCT(('ТРЗ по шагам'!$C$2:$C$60=$A11)*'ТРЗ по шагам'!$F$2:$F$60*'ТРЗ по шагам'!$H$2:$H$60))*HF_YEAR)/H_FTE</f>
        <v>0.376391700404858</v>
      </c>
      <c r="F11" s="6" t="n">
        <f aca="false">((SUMPRODUCT(('ТРЗ по шагам'!$C$2:$C$60=$A11)*'ТРЗ по шагам'!$E$2:$E$60*'ТРЗ по шагам'!$H$2:$H$60)+SUMPRODUCT(('ТРЗ по шагам'!$C$2:$C$60=$A11)*'ТРЗ по шагам'!$F$2:$F$60*'ТРЗ по шагам'!$H$2:$H$60)*F$2)*REL_YEAR+(SUMPRODUCT(('ТРЗ по шагам'!$C$2:$C$60=$A11)*'ТРЗ по шагам'!$E$2:$E$60*'ТРЗ по шагам'!$H$2:$H$60)*HF_F+SUMPRODUCT(('ТРЗ по шагам'!$C$2:$C$60=$A11)*'ТРЗ по шагам'!$F$2:$F$60*'ТРЗ по шагам'!$H$2:$H$60))*HF_YEAR)/H_FTE</f>
        <v>0.442813765182186</v>
      </c>
      <c r="G11" s="6" t="n">
        <f aca="false">((SUMPRODUCT(('ТРЗ по шагам'!$C$2:$C$60=$A11)*'ТРЗ по шагам'!$E$2:$E$60*'ТРЗ по шагам'!$H$2:$H$60)+SUMPRODUCT(('ТРЗ по шагам'!$C$2:$C$60=$A11)*'ТРЗ по шагам'!$F$2:$F$60*'ТРЗ по шагам'!$H$2:$H$60)*G$2)*REL_YEAR+(SUMPRODUCT(('ТРЗ по шагам'!$C$2:$C$60=$A11)*'ТРЗ по шагам'!$E$2:$E$60*'ТРЗ по шагам'!$H$2:$H$60)*HF_F+SUMPRODUCT(('ТРЗ по шагам'!$C$2:$C$60=$A11)*'ТРЗ по шагам'!$F$2:$F$60*'ТРЗ по шагам'!$H$2:$H$60))*HF_YEAR)/H_FTE</f>
        <v>0.509235829959514</v>
      </c>
    </row>
    <row r="12" customFormat="false" ht="15" hidden="false" customHeight="false" outlineLevel="0" collapsed="false">
      <c r="A12" s="2" t="s">
        <v>125</v>
      </c>
      <c r="B12" s="2" t="s">
        <v>126</v>
      </c>
      <c r="C12" s="6" t="n">
        <f aca="false">((SUMPRODUCT(('ТРЗ по шагам'!$C$2:$C$60=$A12)*'ТРЗ по шагам'!$E$2:$E$60*'ТРЗ по шагам'!$H$2:$H$60)+SUMPRODUCT(('ТРЗ по шагам'!$C$2:$C$60=$A12)*'ТРЗ по шагам'!$F$2:$F$60*'ТРЗ по шагам'!$H$2:$H$60)*C$2)*REL_YEAR+(SUMPRODUCT(('ТРЗ по шагам'!$C$2:$C$60=$A12)*'ТРЗ по шагам'!$E$2:$E$60*'ТРЗ по шагам'!$H$2:$H$60)*HF_F+SUMPRODUCT(('ТРЗ по шагам'!$C$2:$C$60=$A12)*'ТРЗ по шагам'!$F$2:$F$60*'ТРЗ по шагам'!$H$2:$H$60))*HF_YEAR)/H_FTE</f>
        <v>0.0455465587044534</v>
      </c>
      <c r="D12" s="6" t="n">
        <f aca="false">((SUMPRODUCT(('ТРЗ по шагам'!$C$2:$C$60=$A12)*'ТРЗ по шагам'!$E$2:$E$60*'ТРЗ по шагам'!$H$2:$H$60)+SUMPRODUCT(('ТРЗ по шагам'!$C$2:$C$60=$A12)*'ТРЗ по шагам'!$F$2:$F$60*'ТРЗ по шагам'!$H$2:$H$60)*D$2)*REL_YEAR+(SUMPRODUCT(('ТРЗ по шагам'!$C$2:$C$60=$A12)*'ТРЗ по шагам'!$E$2:$E$60*'ТРЗ по шагам'!$H$2:$H$60)*HF_F+SUMPRODUCT(('ТРЗ по шагам'!$C$2:$C$60=$A12)*'ТРЗ по шагам'!$F$2:$F$60*'ТРЗ по шагам'!$H$2:$H$60))*HF_YEAR)/H_FTE</f>
        <v>0.0550354251012146</v>
      </c>
      <c r="E12" s="6" t="n">
        <f aca="false">((SUMPRODUCT(('ТРЗ по шагам'!$C$2:$C$60=$A12)*'ТРЗ по шагам'!$E$2:$E$60*'ТРЗ по шагам'!$H$2:$H$60)+SUMPRODUCT(('ТРЗ по шагам'!$C$2:$C$60=$A12)*'ТРЗ по шагам'!$F$2:$F$60*'ТРЗ по шагам'!$H$2:$H$60)*E$2)*REL_YEAR+(SUMPRODUCT(('ТРЗ по шагам'!$C$2:$C$60=$A12)*'ТРЗ по шагам'!$E$2:$E$60*'ТРЗ по шагам'!$H$2:$H$60)*HF_F+SUMPRODUCT(('ТРЗ по шагам'!$C$2:$C$60=$A12)*'ТРЗ по шагам'!$F$2:$F$60*'ТРЗ по шагам'!$H$2:$H$60))*HF_YEAR)/H_FTE</f>
        <v>0.0645242914979757</v>
      </c>
      <c r="F12" s="6" t="n">
        <f aca="false">((SUMPRODUCT(('ТРЗ по шагам'!$C$2:$C$60=$A12)*'ТРЗ по шагам'!$E$2:$E$60*'ТРЗ по шагам'!$H$2:$H$60)+SUMPRODUCT(('ТРЗ по шагам'!$C$2:$C$60=$A12)*'ТРЗ по шагам'!$F$2:$F$60*'ТРЗ по шагам'!$H$2:$H$60)*F$2)*REL_YEAR+(SUMPRODUCT(('ТРЗ по шагам'!$C$2:$C$60=$A12)*'ТРЗ по шагам'!$E$2:$E$60*'ТРЗ по шагам'!$H$2:$H$60)*HF_F+SUMPRODUCT(('ТРЗ по шагам'!$C$2:$C$60=$A12)*'ТРЗ по шагам'!$F$2:$F$60*'ТРЗ по шагам'!$H$2:$H$60))*HF_YEAR)/H_FTE</f>
        <v>0.0740131578947368</v>
      </c>
      <c r="G12" s="6" t="n">
        <f aca="false">((SUMPRODUCT(('ТРЗ по шагам'!$C$2:$C$60=$A12)*'ТРЗ по шагам'!$E$2:$E$60*'ТРЗ по шагам'!$H$2:$H$60)+SUMPRODUCT(('ТРЗ по шагам'!$C$2:$C$60=$A12)*'ТРЗ по шагам'!$F$2:$F$60*'ТРЗ по шагам'!$H$2:$H$60)*G$2)*REL_YEAR+(SUMPRODUCT(('ТРЗ по шагам'!$C$2:$C$60=$A12)*'ТРЗ по шагам'!$E$2:$E$60*'ТРЗ по шагам'!$H$2:$H$60)*HF_F+SUMPRODUCT(('ТРЗ по шагам'!$C$2:$C$60=$A12)*'ТРЗ по шагам'!$F$2:$F$60*'ТРЗ по шагам'!$H$2:$H$60))*HF_YEAR)/H_FTE</f>
        <v>0.083502024291498</v>
      </c>
    </row>
    <row r="13" customFormat="false" ht="15" hidden="false" customHeight="false" outlineLevel="0" collapsed="false">
      <c r="A13" s="2" t="s">
        <v>113</v>
      </c>
      <c r="B13" s="2" t="s">
        <v>114</v>
      </c>
      <c r="C13" s="6" t="n">
        <f aca="false">((SUMPRODUCT(('ТРЗ по шагам'!$C$2:$C$60=$A13)*'ТРЗ по шагам'!$E$2:$E$60*'ТРЗ по шагам'!$H$2:$H$60)+SUMPRODUCT(('ТРЗ по шагам'!$C$2:$C$60=$A13)*'ТРЗ по шагам'!$F$2:$F$60*'ТРЗ по шагам'!$H$2:$H$60)*C$2)*REL_YEAR+(SUMPRODUCT(('ТРЗ по шагам'!$C$2:$C$60=$A13)*'ТРЗ по шагам'!$E$2:$E$60*'ТРЗ по шагам'!$H$2:$H$60)*HF_F+SUMPRODUCT(('ТРЗ по шагам'!$C$2:$C$60=$A13)*'ТРЗ по шагам'!$F$2:$F$60*'ТРЗ по шагам'!$H$2:$H$60))*HF_YEAR)/H_FTE</f>
        <v>0.20748987854251</v>
      </c>
      <c r="D13" s="6" t="n">
        <f aca="false">((SUMPRODUCT(('ТРЗ по шагам'!$C$2:$C$60=$A13)*'ТРЗ по шагам'!$E$2:$E$60*'ТРЗ по шагам'!$H$2:$H$60)+SUMPRODUCT(('ТРЗ по шагам'!$C$2:$C$60=$A13)*'ТРЗ по шагам'!$F$2:$F$60*'ТРЗ по шагам'!$H$2:$H$60)*D$2)*REL_YEAR+(SUMPRODUCT(('ТРЗ по шагам'!$C$2:$C$60=$A13)*'ТРЗ по шагам'!$E$2:$E$60*'ТРЗ по шагам'!$H$2:$H$60)*HF_F+SUMPRODUCT(('ТРЗ по шагам'!$C$2:$C$60=$A13)*'ТРЗ по шагам'!$F$2:$F$60*'ТРЗ по шагам'!$H$2:$H$60))*HF_YEAR)/H_FTE</f>
        <v>0.302378542510121</v>
      </c>
      <c r="E13" s="6" t="n">
        <f aca="false">((SUMPRODUCT(('ТРЗ по шагам'!$C$2:$C$60=$A13)*'ТРЗ по шагам'!$E$2:$E$60*'ТРЗ по шагам'!$H$2:$H$60)+SUMPRODUCT(('ТРЗ по шагам'!$C$2:$C$60=$A13)*'ТРЗ по шагам'!$F$2:$F$60*'ТРЗ по шагам'!$H$2:$H$60)*E$2)*REL_YEAR+(SUMPRODUCT(('ТРЗ по шагам'!$C$2:$C$60=$A13)*'ТРЗ по шагам'!$E$2:$E$60*'ТРЗ по шагам'!$H$2:$H$60)*HF_F+SUMPRODUCT(('ТРЗ по шагам'!$C$2:$C$60=$A13)*'ТРЗ по шагам'!$F$2:$F$60*'ТРЗ по шагам'!$H$2:$H$60))*HF_YEAR)/H_FTE</f>
        <v>0.397267206477733</v>
      </c>
      <c r="F13" s="6" t="n">
        <f aca="false">((SUMPRODUCT(('ТРЗ по шагам'!$C$2:$C$60=$A13)*'ТРЗ по шагам'!$E$2:$E$60*'ТРЗ по шагам'!$H$2:$H$60)+SUMPRODUCT(('ТРЗ по шагам'!$C$2:$C$60=$A13)*'ТРЗ по шагам'!$F$2:$F$60*'ТРЗ по шагам'!$H$2:$H$60)*F$2)*REL_YEAR+(SUMPRODUCT(('ТРЗ по шагам'!$C$2:$C$60=$A13)*'ТРЗ по шагам'!$E$2:$E$60*'ТРЗ по шагам'!$H$2:$H$60)*HF_F+SUMPRODUCT(('ТРЗ по шагам'!$C$2:$C$60=$A13)*'ТРЗ по шагам'!$F$2:$F$60*'ТРЗ по шагам'!$H$2:$H$60))*HF_YEAR)/H_FTE</f>
        <v>0.492155870445344</v>
      </c>
      <c r="G13" s="6" t="n">
        <f aca="false">((SUMPRODUCT(('ТРЗ по шагам'!$C$2:$C$60=$A13)*'ТРЗ по шагам'!$E$2:$E$60*'ТРЗ по шагам'!$H$2:$H$60)+SUMPRODUCT(('ТРЗ по шагам'!$C$2:$C$60=$A13)*'ТРЗ по шагам'!$F$2:$F$60*'ТРЗ по шагам'!$H$2:$H$60)*G$2)*REL_YEAR+(SUMPRODUCT(('ТРЗ по шагам'!$C$2:$C$60=$A13)*'ТРЗ по шагам'!$E$2:$E$60*'ТРЗ по шагам'!$H$2:$H$60)*HF_F+SUMPRODUCT(('ТРЗ по шагам'!$C$2:$C$60=$A13)*'ТРЗ по шагам'!$F$2:$F$60*'ТРЗ по шагам'!$H$2:$H$60))*HF_YEAR)/H_FTE</f>
        <v>0.587044534412955</v>
      </c>
    </row>
    <row r="14" customFormat="false" ht="15" hidden="false" customHeight="false" outlineLevel="0" collapsed="false">
      <c r="A14" s="2" t="s">
        <v>105</v>
      </c>
      <c r="B14" s="2" t="s">
        <v>106</v>
      </c>
      <c r="C14" s="6" t="n">
        <f aca="false">((SUMPRODUCT(('ТРЗ по шагам'!$C$2:$C$60=$A14)*'ТРЗ по шагам'!$E$2:$E$60*'ТРЗ по шагам'!$H$2:$H$60)+SUMPRODUCT(('ТРЗ по шагам'!$C$2:$C$60=$A14)*'ТРЗ по шагам'!$F$2:$F$60*'ТРЗ по шагам'!$H$2:$H$60)*C$2)*REL_YEAR+(SUMPRODUCT(('ТРЗ по шагам'!$C$2:$C$60=$A14)*'ТРЗ по шагам'!$E$2:$E$60*'ТРЗ по шагам'!$H$2:$H$60)*HF_F+SUMPRODUCT(('ТРЗ по шагам'!$C$2:$C$60=$A14)*'ТРЗ по шагам'!$F$2:$F$60*'ТРЗ по шагам'!$H$2:$H$60))*HF_YEAR)/H_FTE</f>
        <v>0.0657894736842105</v>
      </c>
      <c r="D14" s="6" t="n">
        <f aca="false">((SUMPRODUCT(('ТРЗ по шагам'!$C$2:$C$60=$A14)*'ТРЗ по шагам'!$E$2:$E$60*'ТРЗ по шагам'!$H$2:$H$60)+SUMPRODUCT(('ТРЗ по шагам'!$C$2:$C$60=$A14)*'ТРЗ по шагам'!$F$2:$F$60*'ТРЗ по шагам'!$H$2:$H$60)*D$2)*REL_YEAR+(SUMPRODUCT(('ТРЗ по шагам'!$C$2:$C$60=$A14)*'ТРЗ по шагам'!$E$2:$E$60*'ТРЗ по шагам'!$H$2:$H$60)*HF_F+SUMPRODUCT(('ТРЗ по шагам'!$C$2:$C$60=$A14)*'ТРЗ по шагам'!$F$2:$F$60*'ТРЗ по шагам'!$H$2:$H$60))*HF_YEAR)/H_FTE</f>
        <v>0.0942560728744939</v>
      </c>
      <c r="E14" s="6" t="n">
        <f aca="false">((SUMPRODUCT(('ТРЗ по шагам'!$C$2:$C$60=$A14)*'ТРЗ по шагам'!$E$2:$E$60*'ТРЗ по шагам'!$H$2:$H$60)+SUMPRODUCT(('ТРЗ по шагам'!$C$2:$C$60=$A14)*'ТРЗ по шагам'!$F$2:$F$60*'ТРЗ по шагам'!$H$2:$H$60)*E$2)*REL_YEAR+(SUMPRODUCT(('ТРЗ по шагам'!$C$2:$C$60=$A14)*'ТРЗ по шагам'!$E$2:$E$60*'ТРЗ по шагам'!$H$2:$H$60)*HF_F+SUMPRODUCT(('ТРЗ по шагам'!$C$2:$C$60=$A14)*'ТРЗ по шагам'!$F$2:$F$60*'ТРЗ по шагам'!$H$2:$H$60))*HF_YEAR)/H_FTE</f>
        <v>0.122722672064777</v>
      </c>
      <c r="F14" s="6" t="n">
        <f aca="false">((SUMPRODUCT(('ТРЗ по шагам'!$C$2:$C$60=$A14)*'ТРЗ по шагам'!$E$2:$E$60*'ТРЗ по шагам'!$H$2:$H$60)+SUMPRODUCT(('ТРЗ по шагам'!$C$2:$C$60=$A14)*'ТРЗ по шагам'!$F$2:$F$60*'ТРЗ по шагам'!$H$2:$H$60)*F$2)*REL_YEAR+(SUMPRODUCT(('ТРЗ по шагам'!$C$2:$C$60=$A14)*'ТРЗ по шагам'!$E$2:$E$60*'ТРЗ по шагам'!$H$2:$H$60)*HF_F+SUMPRODUCT(('ТРЗ по шагам'!$C$2:$C$60=$A14)*'ТРЗ по шагам'!$F$2:$F$60*'ТРЗ по шагам'!$H$2:$H$60))*HF_YEAR)/H_FTE</f>
        <v>0.151189271255061</v>
      </c>
      <c r="G14" s="6" t="n">
        <f aca="false">((SUMPRODUCT(('ТРЗ по шагам'!$C$2:$C$60=$A14)*'ТРЗ по шагам'!$E$2:$E$60*'ТРЗ по шагам'!$H$2:$H$60)+SUMPRODUCT(('ТРЗ по шагам'!$C$2:$C$60=$A14)*'ТРЗ по шагам'!$F$2:$F$60*'ТРЗ по шагам'!$H$2:$H$60)*G$2)*REL_YEAR+(SUMPRODUCT(('ТРЗ по шагам'!$C$2:$C$60=$A14)*'ТРЗ по шагам'!$E$2:$E$60*'ТРЗ по шагам'!$H$2:$H$60)*HF_F+SUMPRODUCT(('ТРЗ по шагам'!$C$2:$C$60=$A14)*'ТРЗ по шагам'!$F$2:$F$60*'ТРЗ по шагам'!$H$2:$H$60))*HF_YEAR)/H_FTE</f>
        <v>0.179655870445344</v>
      </c>
    </row>
    <row r="15" customFormat="false" ht="15" hidden="false" customHeight="false" outlineLevel="0" collapsed="false">
      <c r="A15" s="2" t="s">
        <v>109</v>
      </c>
      <c r="B15" s="2" t="s">
        <v>110</v>
      </c>
      <c r="C15" s="6" t="n">
        <f aca="false">((SUMPRODUCT(('ТРЗ по шагам'!$C$2:$C$60=$A15)*'ТРЗ по шагам'!$E$2:$E$60*'ТРЗ по шагам'!$H$2:$H$60)+SUMPRODUCT(('ТРЗ по шагам'!$C$2:$C$60=$A15)*'ТРЗ по шагам'!$F$2:$F$60*'ТРЗ по шагам'!$H$2:$H$60)*C$2)*REL_YEAR+(SUMPRODUCT(('ТРЗ по шагам'!$C$2:$C$60=$A15)*'ТРЗ по шагам'!$E$2:$E$60*'ТРЗ по шагам'!$H$2:$H$60)*HF_F+SUMPRODUCT(('ТРЗ по шагам'!$C$2:$C$60=$A15)*'ТРЗ по шагам'!$F$2:$F$60*'ТРЗ по шагам'!$H$2:$H$60))*HF_YEAR)/H_FTE</f>
        <v>0.0657894736842105</v>
      </c>
      <c r="D15" s="6" t="n">
        <f aca="false">((SUMPRODUCT(('ТРЗ по шагам'!$C$2:$C$60=$A15)*'ТРЗ по шагам'!$E$2:$E$60*'ТРЗ по шагам'!$H$2:$H$60)+SUMPRODUCT(('ТРЗ по шагам'!$C$2:$C$60=$A15)*'ТРЗ по шагам'!$F$2:$F$60*'ТРЗ по шагам'!$H$2:$H$60)*D$2)*REL_YEAR+(SUMPRODUCT(('ТРЗ по шагам'!$C$2:$C$60=$A15)*'ТРЗ по шагам'!$E$2:$E$60*'ТРЗ по шагам'!$H$2:$H$60)*HF_F+SUMPRODUCT(('ТРЗ по шагам'!$C$2:$C$60=$A15)*'ТРЗ по шагам'!$F$2:$F$60*'ТРЗ по шагам'!$H$2:$H$60))*HF_YEAR)/H_FTE</f>
        <v>0.0942560728744939</v>
      </c>
      <c r="E15" s="6" t="n">
        <f aca="false">((SUMPRODUCT(('ТРЗ по шагам'!$C$2:$C$60=$A15)*'ТРЗ по шагам'!$E$2:$E$60*'ТРЗ по шагам'!$H$2:$H$60)+SUMPRODUCT(('ТРЗ по шагам'!$C$2:$C$60=$A15)*'ТРЗ по шагам'!$F$2:$F$60*'ТРЗ по шагам'!$H$2:$H$60)*E$2)*REL_YEAR+(SUMPRODUCT(('ТРЗ по шагам'!$C$2:$C$60=$A15)*'ТРЗ по шагам'!$E$2:$E$60*'ТРЗ по шагам'!$H$2:$H$60)*HF_F+SUMPRODUCT(('ТРЗ по шагам'!$C$2:$C$60=$A15)*'ТРЗ по шагам'!$F$2:$F$60*'ТРЗ по шагам'!$H$2:$H$60))*HF_YEAR)/H_FTE</f>
        <v>0.122722672064777</v>
      </c>
      <c r="F15" s="6" t="n">
        <f aca="false">((SUMPRODUCT(('ТРЗ по шагам'!$C$2:$C$60=$A15)*'ТРЗ по шагам'!$E$2:$E$60*'ТРЗ по шагам'!$H$2:$H$60)+SUMPRODUCT(('ТРЗ по шагам'!$C$2:$C$60=$A15)*'ТРЗ по шагам'!$F$2:$F$60*'ТРЗ по шагам'!$H$2:$H$60)*F$2)*REL_YEAR+(SUMPRODUCT(('ТРЗ по шагам'!$C$2:$C$60=$A15)*'ТРЗ по шагам'!$E$2:$E$60*'ТРЗ по шагам'!$H$2:$H$60)*HF_F+SUMPRODUCT(('ТРЗ по шагам'!$C$2:$C$60=$A15)*'ТРЗ по шагам'!$F$2:$F$60*'ТРЗ по шагам'!$H$2:$H$60))*HF_YEAR)/H_FTE</f>
        <v>0.151189271255061</v>
      </c>
      <c r="G15" s="6" t="n">
        <f aca="false">((SUMPRODUCT(('ТРЗ по шагам'!$C$2:$C$60=$A15)*'ТРЗ по шагам'!$E$2:$E$60*'ТРЗ по шагам'!$H$2:$H$60)+SUMPRODUCT(('ТРЗ по шагам'!$C$2:$C$60=$A15)*'ТРЗ по шагам'!$F$2:$F$60*'ТРЗ по шагам'!$H$2:$H$60)*G$2)*REL_YEAR+(SUMPRODUCT(('ТРЗ по шагам'!$C$2:$C$60=$A15)*'ТРЗ по шагам'!$E$2:$E$60*'ТРЗ по шагам'!$H$2:$H$60)*HF_F+SUMPRODUCT(('ТРЗ по шагам'!$C$2:$C$60=$A15)*'ТРЗ по шагам'!$F$2:$F$60*'ТРЗ по шагам'!$H$2:$H$60))*HF_YEAR)/H_FTE</f>
        <v>0.179655870445344</v>
      </c>
    </row>
    <row r="16" customFormat="false" ht="15" hidden="false" customHeight="false" outlineLevel="0" collapsed="false">
      <c r="A16" s="2"/>
      <c r="B16" s="8" t="s">
        <v>152</v>
      </c>
      <c r="C16" s="17" t="n">
        <f aca="false">SUM(C3:C15)</f>
        <v>3.30364372469636</v>
      </c>
      <c r="D16" s="17" t="n">
        <f aca="false">SUM(D3:D15)</f>
        <v>5.13879048582996</v>
      </c>
      <c r="E16" s="17" t="n">
        <f aca="false">SUM(E3:E15)</f>
        <v>6.97393724696356</v>
      </c>
      <c r="F16" s="17" t="n">
        <f aca="false">SUM(F3:F15)</f>
        <v>8.80908400809717</v>
      </c>
      <c r="G16" s="17" t="n">
        <f aca="false">SUM(G3:G15)</f>
        <v>10.6442307692308</v>
      </c>
    </row>
    <row r="17" customFormat="false" ht="15" hidden="false" customHeight="false" outlineLevel="0" collapsed="false">
      <c r="A17" s="2"/>
      <c r="B17" s="8" t="s">
        <v>153</v>
      </c>
      <c r="C17" s="17" t="n">
        <f aca="false">13*1</f>
        <v>13</v>
      </c>
      <c r="D17" s="17" t="n">
        <f aca="false">13*1</f>
        <v>13</v>
      </c>
      <c r="E17" s="17" t="n">
        <f aca="false">13*1</f>
        <v>13</v>
      </c>
      <c r="F17" s="17" t="n">
        <f aca="false">13*1</f>
        <v>13</v>
      </c>
      <c r="G17" s="17" t="n">
        <f aca="false">13*1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8" t="s">
        <v>154</v>
      </c>
    </row>
    <row r="2" customFormat="false" ht="15" hidden="false" customHeight="false" outlineLevel="0" collapsed="false">
      <c r="A2" s="19"/>
    </row>
    <row r="3" customFormat="false" ht="28.35" hidden="false" customHeight="false" outlineLevel="0" collapsed="false">
      <c r="A3" s="19" t="s">
        <v>155</v>
      </c>
    </row>
    <row r="4" customFormat="false" ht="28.35" hidden="false" customHeight="false" outlineLevel="0" collapsed="false">
      <c r="A4" s="19" t="s">
        <v>156</v>
      </c>
    </row>
    <row r="5" customFormat="false" ht="15" hidden="false" customHeight="false" outlineLevel="0" collapsed="false">
      <c r="A5" s="19" t="s">
        <v>157</v>
      </c>
    </row>
    <row r="6" customFormat="false" ht="15" hidden="false" customHeight="false" outlineLevel="0" collapsed="false">
      <c r="A6" s="19" t="s">
        <v>158</v>
      </c>
    </row>
    <row r="7" customFormat="false" ht="28.35" hidden="false" customHeight="false" outlineLevel="0" collapsed="false">
      <c r="A7" s="19" t="s">
        <v>159</v>
      </c>
    </row>
    <row r="8" customFormat="false" ht="15" hidden="false" customHeight="false" outlineLevel="0" collapsed="false">
      <c r="A8" s="19" t="s">
        <v>160</v>
      </c>
    </row>
    <row r="9" customFormat="false" ht="28.35" hidden="false" customHeight="false" outlineLevel="0" collapsed="false">
      <c r="A9" s="19" t="s">
        <v>161</v>
      </c>
    </row>
    <row r="10" customFormat="false" ht="28.35" hidden="false" customHeight="false" outlineLevel="0" collapsed="false">
      <c r="A10" s="1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2026-10-21T10:10:49Z</dcterms:created>
  <dc:creator>openpyxl</dc:creator>
  <dc:description/>
  <dc:language>en-US</dc:language>
  <cp:lastModifiedBy/>
  <dcterms:modified xsi:type="dcterms:W3CDTF">2026-10-21T10:10:49Z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